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b3aa6e654843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ồn theo serial" sheetId="1" r:id="R739d8278088a4793"/>
    <x:sheet xmlns:r="http://schemas.openxmlformats.org/officeDocument/2006/relationships" name="Tổng hợp cấu hình" sheetId="2" r:id="R5d72ca4598184dc2"/>
    <x:sheet xmlns:r="http://schemas.openxmlformats.org/officeDocument/2006/relationships" name="Cần đối chiếu" sheetId="3" r:id="R4f3d022a93ca4f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"/>
    <x:numFmt numFmtId="202" formatCode="dd/mm/yyyy"/>
    <x:numFmt numFmtId="203" formatCode="#,##0;[Red](#,##0);&quot;&quot;"/>
  </x:numFmts>
  <x:fonts count="5">
    <x:font>
      <x:sz val="11"/>
      <x:name val="Carlito"/>
    </x:font>
    <x:font>
      <x:sz val="10"/>
      <x:color rgb="FF182B40"/>
      <x:name val="Arial"/>
    </x:font>
    <x:font>
      <x:b/>
      <x:sz val="16"/>
      <x:color rgb="FF15375D"/>
      <x:name val="Arial"/>
    </x:font>
    <x:font>
      <x:sz val="10"/>
      <x:color rgb="FF526579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5D9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FF9B2823"/>
      </x:font>
      <x:fill>
        <x:patternFill patternType="solid">
          <x:bgColor rgb="FFFBE2DE"/>
        </x:patternFill>
      </x:fill>
    </x:dxf>
    <x:dxf>
      <x:font>
        <x:color rgb="FF895200"/>
      </x:font>
      <x:fill>
        <x:patternFill patternType="solid">
          <x:bgColor rgb="FFFFF0CE"/>
        </x:patternFill>
      </x:fill>
    </x:dxf>
    <x:dxf>
      <x:font>
        <x:b/>
        <x:color rgb="FF895200"/>
      </x:font>
      <x:fill>
        <x:patternFill patternType="solid">
          <x:bgColor rgb="FFFFF0CE"/>
        </x:patternFill>
      </x:fill>
    </x:dxf>
    <x:dxf>
      <x:fill>
        <x:patternFill patternType="solid">
          <x:bgColor rgb="FFFFF0CE"/>
        </x:patternFill>
      </x:fill>
    </x:dxf>
    <x:dxf>
      <x:font>
        <x:b/>
        <x:color rgb="FF9B2823"/>
      </x:font>
      <x:fill>
        <x:patternFill patternType="solid">
          <x:bgColor rgb="FFFBE2DE"/>
        </x:patternFill>
      </x:fill>
    </x:dxf>
    <x:dxf>
      <x:font>
        <x:color rgb="FF895200"/>
      </x:font>
      <x:fill>
        <x:patternFill patternType="solid">
          <x:bgColor rgb="FFFFF0CE"/>
        </x:patternFill>
      </x:fill>
    </x:dxf>
    <x:dxf>
      <x:font>
        <x:b/>
        <x:color rgb="FF9B2823"/>
      </x:font>
      <x:fill>
        <x:patternFill patternType="solid">
          <x:bgColor rgb="FFFBE2DE"/>
        </x:patternFill>
      </x:fill>
    </x:dxf>
    <x:dxf>
      <x:font>
        <x:color rgb="FF895200"/>
      </x:font>
      <x:fill>
        <x:patternFill patternType="solid">
          <x:bgColor rgb="FFFFF0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82aaa4790a4e03" /><Relationship Type="http://schemas.openxmlformats.org/officeDocument/2006/relationships/theme" Target="/xl/theme/theme1.xml" Id="Rb7ea9ffd1be74aa8" /><Relationship Type="http://schemas.openxmlformats.org/officeDocument/2006/relationships/sharedStrings" Target="/xl/sharedStrings.xml" Id="R1c4e83568d794d9f" /><Relationship Type="http://schemas.openxmlformats.org/officeDocument/2006/relationships/worksheet" Target="/xl/worksheets/sheet1.xml" Id="R739d8278088a4793" /><Relationship Type="http://schemas.openxmlformats.org/officeDocument/2006/relationships/worksheet" Target="/xl/worksheets/sheet2.xml" Id="R5d72ca4598184dc2" /><Relationship Type="http://schemas.openxmlformats.org/officeDocument/2006/relationships/worksheet" Target="/xl/worksheets/sheet3.xml" Id="R4f3d022a93ca4f17" /></Relationships>
</file>

<file path=xl/tables/table1.xml><?xml version="1.0" encoding="utf-8"?>
<x:table xmlns:x="http://schemas.openxmlformats.org/spreadsheetml/2006/main" id="1" name="InventoryDetail" displayName="InventoryDetail" ref="A8:AD106" headerRowCount="1" totalsRowCount="0" totalsRowShown="0">
  <x:autoFilter ref="A8:AD106"/>
  <x:tableColumns count="30">
    <x:tableColumn id="1" name="Serial"/>
    <x:tableColumn id="2" name="Tình trạng dữ liệu"/>
    <x:tableColumn id="3" name="Hãng"/>
    <x:tableColumn id="4" name="Dòng máy hệ thống"/>
    <x:tableColumn id="5" name="Mã BT"/>
    <x:tableColumn id="6" name="Tên biến thể danh mục"/>
    <x:tableColumn id="7" name="CPU hồ sơ"/>
    <x:tableColumn id="8" name="CPU trong cấu hình"/>
    <x:tableColumn id="9" name="RAM (GB)"/>
    <x:tableColumn id="10" name="SSD (GB)"/>
    <x:tableColumn id="11" name="GPU hồ sơ"/>
    <x:tableColumn id="12" name="Cảm ứng"/>
    <x:tableColumn id="13" name="Cấu hình nguồn theo serial"/>
    <x:tableColumn id="14" name="Trạng thái tồn"/>
    <x:tableColumn id="15" name="Giá bán (đ)"/>
    <x:tableColumn id="16" name="Ngày nhập"/>
    <x:tableColumn id="17" name="Ngày sẵn sàng"/>
    <x:tableColumn id="18" name="Số ngày sẵn sàng"/>
    <x:tableColumn id="19" name="Nghiệp vụ nhập"/>
    <x:tableColumn id="20" name="Mã dòng"/>
    <x:tableColumn id="21" name="Mã vòng tồn"/>
    <x:tableColumn id="22" name="Nguồn RAM/SSD"/>
    <x:tableColumn id="23" name="Tên máy lúc nhập"/>
    <x:tableColumn id="24" name="Cấu hình lúc nhập"/>
    <x:tableColumn id="25" name="Điểm cần đối chiếu"/>
    <x:tableColumn id="26" name="Vị trí hồ sơ nguồn"/>
    <x:tableColumn id="27" name="Sự kiện cuối"/>
    <x:tableColumn id="28" name="Loại bảo hành khai báo"/>
    <x:tableColumn id="29" name="BH shop (tháng)"/>
    <x:tableColumn id="30" name="Ngày hết BH hãng/TGDĐ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ventorySummary" displayName="InventorySummary" ref="A8:P52" headerRowCount="1" totalsRowCount="0" totalsRowShown="0">
  <x:autoFilter ref="A8:P52"/>
  <x:tableColumns count="16">
    <x:tableColumn id="1" name="Mã BT"/>
    <x:tableColumn id="2" name="Hãng"/>
    <x:tableColumn id="3" name="Dòng máy"/>
    <x:tableColumn id="4" name="Tên biến thể danh mục"/>
    <x:tableColumn id="5" name="CPU hồ sơ"/>
    <x:tableColumn id="6" name="GPU hồ sơ"/>
    <x:tableColumn id="7" name="Cảm ứng"/>
    <x:tableColumn id="8" name="RAM (GB)"/>
    <x:tableColumn id="9" name="SSD (GB)"/>
    <x:tableColumn id="10" name="Tổng tồn"/>
    <x:tableColumn id="11" name="Sẵn sàng bán"/>
    <x:tableColumn id="12" name="Cần kiểm tra"/>
    <x:tableColumn id="13" name="Cần xác nhận"/>
    <x:tableColumn id="14" name="Thiếu thông số"/>
    <x:tableColumn id="15" name="Có giá"/>
    <x:tableColumn id="16" name="Chưa có giá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ventoryAudit" displayName="InventoryAudit" ref="A8:J38" headerRowCount="1" totalsRowCount="0" totalsRowShown="0">
  <x:autoFilter ref="A8:J38"/>
  <x:tableColumns count="10">
    <x:tableColumn id="1" name="Serial"/>
    <x:tableColumn id="2" name="Loại vấn đề"/>
    <x:tableColumn id="3" name="Dòng máy"/>
    <x:tableColumn id="4" name="Mã BT"/>
    <x:tableColumn id="5" name="Trường cần kiểm tra"/>
    <x:tableColumn id="6" name="Giá trị nguồn"/>
    <x:tableColumn id="7" name="Giá trị đối chiếu"/>
    <x:tableColumn id="8" name="Lý do"/>
    <x:tableColumn id="9" name="Vị trí/chứng cứ"/>
    <x:tableColumn id="10" name="Bước xác nhậ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a9fbd2ae0d84c4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d26cd558efc48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999a921fff34d26" /></Relationships>
</file>

<file path=xl/worksheets/sheet1.xml><?xml version="1.0" encoding="utf-8"?>
<x:worksheet xmlns:x="http://schemas.openxmlformats.org/spreadsheetml/2006/main">
  <x:sheetPr>
    <x:tabColor rgb="FF15375D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25" hidden="0" customWidth="1"/>
    <x:col min="2" max="2" width="23" hidden="0" customWidth="1"/>
    <x:col min="3" max="3" width="13" hidden="0" customWidth="1"/>
    <x:col min="4" max="4" width="36" hidden="0" customWidth="1"/>
    <x:col min="5" max="5" width="17" hidden="0" customWidth="1"/>
    <x:col min="6" max="6" width="62" hidden="0" customWidth="1"/>
    <x:col min="7" max="7" width="29" hidden="0" customWidth="1"/>
    <x:col min="8" max="8" width="32" hidden="0" customWidth="1"/>
    <x:col min="9" max="9" width="13" hidden="0" customWidth="1"/>
    <x:col min="10" max="10" width="13" hidden="0" customWidth="1"/>
    <x:col min="11" max="11" width="32" hidden="0" customWidth="1"/>
    <x:col min="12" max="12" width="22" hidden="0" customWidth="1"/>
    <x:col min="13" max="13" width="76" hidden="0" customWidth="1"/>
    <x:col min="14" max="14" width="22" hidden="0" customWidth="1"/>
    <x:col min="15" max="15" width="19" hidden="0" customWidth="1"/>
    <x:col min="16" max="16" width="17" hidden="0" customWidth="1"/>
    <x:col min="17" max="17" width="17" hidden="0" customWidth="1"/>
    <x:col min="18" max="18" width="18" hidden="0" customWidth="1"/>
    <x:col min="19" max="19" width="24" hidden="0" customWidth="1"/>
    <x:col min="20" max="20" width="17" hidden="0" customWidth="1"/>
    <x:col min="21" max="21" width="33" hidden="0" customWidth="1"/>
    <x:col min="22" max="22" width="31" hidden="0" customWidth="1"/>
    <x:col min="23" max="23" width="54" hidden="0" customWidth="1"/>
    <x:col min="24" max="24" width="76" hidden="0" customWidth="1"/>
    <x:col min="25" max="25" width="85" hidden="0" customWidth="1"/>
    <x:col min="26" max="26" width="35" hidden="0" customWidth="1"/>
    <x:col min="27" max="27" width="43" hidden="0" customWidth="1"/>
    <x:col min="28" max="28" width="27" hidden="0" customWidth="1"/>
    <x:col min="29" max="29" width="17" hidden="0" customWidth="1"/>
    <x:col min="30" max="30" width="2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</x:row>
    <x:row r="2" ht="30" customHeight="1">
      <x:c r="A2" s="3" t="str">
        <x:v>Tồn kho theo serial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ht="21" customHeight="1">
      <x:c r="A3" s="4" t="str">
        <x:v>Dữ liệu đọc lúc 18:32 12/10/2026 (GMT+7). 98 máy: 97 sẵn sàng bán, 1 cần kiểm tra.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</x:row>
    <x:row r="4" ht="21" customHeight="1">
      <x:c r="A4" s="4" t="str">
        <x:v>5 máy cần xác nhận, 15 máy thiếu thông số. Giữ nguyên giá trị mâu thuẫn để đối chiếu.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  <x:c r="AA4" s="4"/>
      <x:c r="AB4" s="4"/>
      <x:c r="AC4" s="4"/>
      <x:c r="AD4" s="4"/>
    </x:row>
    <x:row r="5" ht="21" customHeight="1">
      <x:c r="A5" s="4" t="str">
        <x:v>KHỚP DỮ LIỆU nghĩa là các nguồn đồng nhất; chưa thay thế kiểm tra cấu hình thực tế. RAM/SSD thiếu được để trống.</x:v>
      </x:c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  <x:c r="AA5" s="4"/>
      <x:c r="AB5" s="4"/>
      <x:c r="AC5" s="4"/>
      <x:c r="AD5" s="4"/>
    </x:row>
    <x:row r="6" ht="21" customHeight="1">
      <x:c r="A6" s="4" t="str">
        <x:v>Nguồn: https://docs.google.com/spreadsheets/d/1V7YiSQ232HgKz4hCkL0-KTHYI5ciOWMtRbEpw96a_D4/edit</x:v>
      </x:c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  <x:c r="AA6" s="4"/>
      <x:c r="AB6" s="4"/>
      <x:c r="AC6" s="4"/>
      <x:c r="AD6" s="4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</x:row>
    <x:row r="8" ht="42" customHeight="1">
      <x:c r="A8" s="8" t="str">
        <x:v>Serial</x:v>
      </x:c>
      <x:c r="B8" s="8" t="str">
        <x:v>Tình trạng dữ liệu</x:v>
      </x:c>
      <x:c r="C8" s="8" t="str">
        <x:v>Hãng</x:v>
      </x:c>
      <x:c r="D8" s="8" t="str">
        <x:v>Dòng máy hệ thống</x:v>
      </x:c>
      <x:c r="E8" s="8" t="str">
        <x:v>Mã BT</x:v>
      </x:c>
      <x:c r="F8" s="8" t="str">
        <x:v>Tên biến thể danh mục</x:v>
      </x:c>
      <x:c r="G8" s="8" t="str">
        <x:v>CPU hồ sơ</x:v>
      </x:c>
      <x:c r="H8" s="8" t="str">
        <x:v>CPU trong cấu hình</x:v>
      </x:c>
      <x:c r="I8" s="8" t="str">
        <x:v>RAM (GB)</x:v>
      </x:c>
      <x:c r="J8" s="8" t="str">
        <x:v>SSD (GB)</x:v>
      </x:c>
      <x:c r="K8" s="8" t="str">
        <x:v>GPU hồ sơ</x:v>
      </x:c>
      <x:c r="L8" s="8" t="str">
        <x:v>Cảm ứng</x:v>
      </x:c>
      <x:c r="M8" s="8" t="str">
        <x:v>Cấu hình nguồn theo serial</x:v>
      </x:c>
      <x:c r="N8" s="8" t="str">
        <x:v>Trạng thái tồn</x:v>
      </x:c>
      <x:c r="O8" s="8" t="str">
        <x:v>Giá bán (đ)</x:v>
      </x:c>
      <x:c r="P8" s="8" t="str">
        <x:v>Ngày nhập</x:v>
      </x:c>
      <x:c r="Q8" s="8" t="str">
        <x:v>Ngày sẵn sàng</x:v>
      </x:c>
      <x:c r="R8" s="8" t="str">
        <x:v>Số ngày sẵn sàng</x:v>
      </x:c>
      <x:c r="S8" s="8" t="str">
        <x:v>Nghiệp vụ nhập</x:v>
      </x:c>
      <x:c r="T8" s="8" t="str">
        <x:v>Mã dòng</x:v>
      </x:c>
      <x:c r="U8" s="8" t="str">
        <x:v>Mã vòng tồn</x:v>
      </x:c>
      <x:c r="V8" s="8" t="str">
        <x:v>Nguồn RAM/SSD</x:v>
      </x:c>
      <x:c r="W8" s="8" t="str">
        <x:v>Tên máy lúc nhập</x:v>
      </x:c>
      <x:c r="X8" s="8" t="str">
        <x:v>Cấu hình lúc nhập</x:v>
      </x:c>
      <x:c r="Y8" s="8" t="str">
        <x:v>Điểm cần đối chiếu</x:v>
      </x:c>
      <x:c r="Z8" s="8" t="str">
        <x:v>Vị trí hồ sơ nguồn</x:v>
      </x:c>
      <x:c r="AA8" s="8" t="str">
        <x:v>Sự kiện cuối</x:v>
      </x:c>
      <x:c r="AB8" s="8" t="str">
        <x:v>Loại bảo hành khai báo</x:v>
      </x:c>
      <x:c r="AC8" s="8" t="str">
        <x:v>BH shop (tháng)</x:v>
      </x:c>
      <x:c r="AD8" s="8" t="str">
        <x:v>Ngày hết BH hãng/TGDĐ</x:v>
      </x:c>
    </x:row>
    <x:row r="9" ht="42" customHeight="1">
      <x:c r="A9" s="10" t="str">
        <x:v>NQEHSV00125006BD03400</x:v>
      </x:c>
      <x:c r="B9" s="9" t="str">
        <x:v>CẦN XÁC NHẬN</x:v>
      </x:c>
      <x:c r="C9" s="9" t="str">
        <x:v>Acer</x:v>
      </x:c>
      <x:c r="D9" s="9" t="str">
        <x:v>Acer Acer Nitro 5 AN515-57</x:v>
      </x:c>
      <x:c r="E9" s="10" t="str">
        <x:v>BT-000230</x:v>
      </x:c>
      <x:c r="F9" s="9" t="str">
        <x:v>Acer Acer Nitro 5 AN515-57 · Core I5-11400H · không cảm ứng · RTX 1650 - 4GB</x:v>
      </x:c>
      <x:c r="G9" s="9" t="str">
        <x:v>Core I5-11400H</x:v>
      </x:c>
      <x:c r="H9" s="9" t="str">
        <x:v>Core I5-11400H</x:v>
      </x:c>
      <x:c r="I9" s="11" t="n">
        <x:v>8</x:v>
      </x:c>
      <x:c r="J9" s="11" t="n">
        <x:v>512</x:v>
      </x:c>
      <x:c r="K9" s="9" t="str">
        <x:v>RTX 1650 - 4GB</x:v>
      </x:c>
      <x:c r="L9" s="9" t="str">
        <x:v>KHÔNG CẢM ỨNG</x:v>
      </x:c>
      <x:c r="M9" s="9" t="str">
        <x:v>Core I5-11400H / RAM 8GB / SSD 512GB / RTX 1650 - 4GB / KHÔNG CẢM ỨNG</x:v>
      </x:c>
      <x:c r="N9" s="9" t="str">
        <x:v>SẴN SÀNG BÁN</x:v>
      </x:c>
      <x:c r="O9" s="11" t="n">
        <x:v>10900000</x:v>
      </x:c>
      <x:c r="P9" s="12" t="n">
        <x:v>46307</x:v>
      </x:c>
      <x:c r="Q9" s="12" t="n">
        <x:v>46307</x:v>
      </x:c>
      <x:c r="R9" s="11" t="n">
        <x:v>0</x:v>
      </x:c>
      <x:c r="S9" s="9" t="str">
        <x:v>THU MÁY KHÁCH</x:v>
      </x:c>
      <x:c r="T9" s="10" t="str">
        <x:v>DM-000177</x:v>
      </x:c>
      <x:c r="U9" s="10" t="str">
        <x:v>NQEHSV00125006BD03400::1</x:v>
      </x:c>
      <x:c r="V9" s="9" t="str">
        <x:v>Trường số hồ sơ</x:v>
      </x:c>
      <x:c r="W9" s="9" t="str">
        <x:v>Acer Nitro 5 AN515-57</x:v>
      </x:c>
      <x:c r="X9" s="9" t="str">
        <x:v>Core I5-11400H / RAM 8GB / SSD 512GB / RTX 1650 - 4GB / KHÔNG CẢM ỨNG</x:v>
      </x:c>
      <x:c r="Y9" s="9" t="str">
        <x:v>Tên GPU ghi RTX 1650 cần xác nhận; Acer công bố bản AN515-57 dùng GTX 1650</x:v>
      </x:c>
      <x:c r="Z9" s="9" t="str">
        <x:v>SERIAL_REGISTRY!A446:AA446</x:v>
      </x:c>
      <x:c r="AA9" s="9" t="str">
        <x:v>EVT-IN-120301A6E41CD931C975</x:v>
      </x:c>
      <x:c r="AB9" s="9" t="str">
        <x:v>SHOP</x:v>
      </x:c>
      <x:c r="AC9" s="11" t="n">
        <x:v>3</x:v>
      </x:c>
      <x:c r="AD9" s="9"/>
    </x:row>
    <x:row r="10" ht="42" customHeight="1">
      <x:c r="A10" s="10" t="str">
        <x:v>NXJ8LAA00150706BB77600</x:v>
      </x:c>
      <x:c r="B10" s="9" t="str">
        <x:v>CẦN XÁC NHẬN</x:v>
      </x:c>
      <x:c r="C10" s="9" t="str">
        <x:v>Acer</x:v>
      </x:c>
      <x:c r="D10" s="9" t="str">
        <x:v>Acer Aspire 14 AI A14-52M</x:v>
      </x:c>
      <x:c r="E10" s="10" t="str">
        <x:v>BT-000010</x:v>
      </x:c>
      <x:c r="F10" s="9" t="str">
        <x:v>Acer Aspire 14 AI A14-52M · Core Ultra 7 256V · không cảm ứng</x:v>
      </x:c>
      <x:c r="G10" s="9" t="str">
        <x:v>Intel Core Ultra 7 256V</x:v>
      </x:c>
      <x:c r="H10" s="9" t="str">
        <x:v>Ultra 5-135U</x:v>
      </x:c>
      <x:c r="I10" s="11" t="n">
        <x:v>16</x:v>
      </x:c>
      <x:c r="J10" s="11" t="n">
        <x:v>512</x:v>
      </x:c>
      <x:c r="K10" s="9" t="str">
        <x:v>Intel Arc 140V</x:v>
      </x:c>
      <x:c r="L10" s="9" t="str">
        <x:v>KHÔNG CẢM ỨNG</x:v>
      </x:c>
      <x:c r="M10" s="9" t="str">
        <x:v>Ultra 5-135U / Ram 16GB / 512GB SSD / Intel Arc Graphics / 14 inch FHD+</x:v>
      </x:c>
      <x:c r="N10" s="9" t="str">
        <x:v>SẴN SÀNG BÁN</x:v>
      </x:c>
      <x:c r="O10" s="11" t="n">
        <x:v>18800000</x:v>
      </x:c>
      <x:c r="P10" s="12" t="n">
        <x:v>46235</x:v>
      </x:c>
      <x:c r="Q10" s="12" t="n">
        <x:v>46235</x:v>
      </x:c>
      <x:c r="R10" s="11" t="n">
        <x:v>72</x:v>
      </x:c>
      <x:c r="S10" s="9" t="str">
        <x:v>SỐ DƯ ĐẦU KỲ</x:v>
      </x:c>
      <x:c r="T10" s="10" t="str">
        <x:v>DM-000007</x:v>
      </x:c>
      <x:c r="U10" s="10" t="str">
        <x:v>NXJ8LAA00150706BB77600::1</x:v>
      </x:c>
      <x:c r="V10" s="9" t="str">
        <x:v>Tách từ cấu hình theo serial</x:v>
      </x:c>
      <x:c r="W10" s="9" t="str">
        <x:v>Acer Aspire 14 AI A14-52M</x:v>
      </x:c>
      <x:c r="X10" s="9" t="str">
        <x:v>Intel Core Ultra 7 256V (8 nhân, 8 luồng, 2.2 GHz base, NPU AI Boost 47 TOPS)</x:v>
      </x:c>
      <x:c r="Y10" s="9" t="str">
        <x:v>CPU hồ sơ khác chuỗi cấu hình theo serial</x:v>
      </x:c>
      <x:c r="Z10" s="9" t="str">
        <x:v>SERIAL_REGISTRY!A104:AA104</x:v>
      </x:c>
      <x:c r="AA10" s="9" t="str">
        <x:v>EVT-PRICE-2AFDC96205FE65350D01</x:v>
      </x:c>
      <x:c r="AB10" s="9"/>
      <x:c r="AC10" s="11"/>
      <x:c r="AD10" s="9"/>
    </x:row>
    <x:row r="11" ht="42" customHeight="1">
      <x:c r="A11" s="10" t="str">
        <x:v>NXJ8LAA0015081B9237600</x:v>
      </x:c>
      <x:c r="B11" s="9" t="str">
        <x:v>CẦN XÁC NHẬN</x:v>
      </x:c>
      <x:c r="C11" s="9" t="str">
        <x:v>Acer</x:v>
      </x:c>
      <x:c r="D11" s="9" t="str">
        <x:v>Acer Aspire 14 AI A14-52M</x:v>
      </x:c>
      <x:c r="E11" s="10" t="str">
        <x:v>BT-000010</x:v>
      </x:c>
      <x:c r="F11" s="9" t="str">
        <x:v>Acer Aspire 14 AI A14-52M · Core Ultra 7 256V · không cảm ứng</x:v>
      </x:c>
      <x:c r="G11" s="9" t="str">
        <x:v>Intel Core Ultra 7 256V</x:v>
      </x:c>
      <x:c r="H11" s="9" t="str">
        <x:v>Ultra 5-135U</x:v>
      </x:c>
      <x:c r="I11" s="11" t="n">
        <x:v>16</x:v>
      </x:c>
      <x:c r="J11" s="11" t="n">
        <x:v>512</x:v>
      </x:c>
      <x:c r="K11" s="9" t="str">
        <x:v>Intel Arc 140V</x:v>
      </x:c>
      <x:c r="L11" s="9" t="str">
        <x:v>KHÔNG CẢM ỨNG</x:v>
      </x:c>
      <x:c r="M11" s="9" t="str">
        <x:v>Ultra 5-135U / Ram 16GB / 512GB SSD / Intel Arc Graphics / 14 inch FHD+</x:v>
      </x:c>
      <x:c r="N11" s="9" t="str">
        <x:v>SẴN SÀNG BÁN</x:v>
      </x:c>
      <x:c r="O11" s="11" t="n">
        <x:v>18800000</x:v>
      </x:c>
      <x:c r="P11" s="12" t="n">
        <x:v>46235</x:v>
      </x:c>
      <x:c r="Q11" s="12" t="n">
        <x:v>46235</x:v>
      </x:c>
      <x:c r="R11" s="11" t="n">
        <x:v>72</x:v>
      </x:c>
      <x:c r="S11" s="9" t="str">
        <x:v>SỐ DƯ ĐẦU KỲ</x:v>
      </x:c>
      <x:c r="T11" s="10" t="str">
        <x:v>DM-000007</x:v>
      </x:c>
      <x:c r="U11" s="10" t="str">
        <x:v>NXJ8LAA0015081B9237600::1</x:v>
      </x:c>
      <x:c r="V11" s="9" t="str">
        <x:v>Tách từ cấu hình theo serial</x:v>
      </x:c>
      <x:c r="W11" s="9" t="str">
        <x:v>Acer Aspire 14 AI A14-52M</x:v>
      </x:c>
      <x:c r="X11" s="9" t="str">
        <x:v>Intel Core Ultra 7 256V (8 nhân, 8 luồng, 2.2 GHz base, NPU AI Boost 47 TOPS)</x:v>
      </x:c>
      <x:c r="Y11" s="9" t="str">
        <x:v>CPU hồ sơ khác chuỗi cấu hình theo serial</x:v>
      </x:c>
      <x:c r="Z11" s="9" t="str">
        <x:v>SERIAL_REGISTRY!A103:AA103</x:v>
      </x:c>
      <x:c r="AA11" s="9" t="str">
        <x:v>EVT-PRICE-2AFDC96205FE65350D01</x:v>
      </x:c>
      <x:c r="AB11" s="9"/>
      <x:c r="AC11" s="11"/>
      <x:c r="AD11" s="9"/>
    </x:row>
    <x:row r="12" ht="42" customHeight="1">
      <x:c r="A12" s="10" t="str">
        <x:v>25071E802914</x:v>
      </x:c>
      <x:c r="B12" s="9" t="str">
        <x:v>KHỚP DỮ LIỆU</x:v>
      </x:c>
      <x:c r="C12" s="9" t="str">
        <x:v>Acer</x:v>
      </x:c>
      <x:c r="D12" s="9" t="str">
        <x:v>Acer Aspire 14 AI A14-52M</x:v>
      </x:c>
      <x:c r="E12" s="10" t="str">
        <x:v>BT-000209</x:v>
      </x:c>
      <x:c r="F12" s="9" t="str">
        <x:v>Acer Aspire 14 AI A14-52M · Core Ultra 5 - 226V · có cảm ứng · Intel Arc Graphics</x:v>
      </x:c>
      <x:c r="G12" s="9" t="str">
        <x:v>Core Ultra 5 - 226V</x:v>
      </x:c>
      <x:c r="H12" s="9" t="str">
        <x:v>Core Ultra 5 - 226V</x:v>
      </x:c>
      <x:c r="I12" s="11" t="n">
        <x:v>16</x:v>
      </x:c>
      <x:c r="J12" s="11" t="n">
        <x:v>1024</x:v>
      </x:c>
      <x:c r="K12" s="9" t="str">
        <x:v>Intel Arc Graphics</x:v>
      </x:c>
      <x:c r="L12" s="9" t="str">
        <x:v>CÓ CẢM ỨNG</x:v>
      </x:c>
      <x:c r="M12" s="9" t="str">
        <x:v>Core Ultra 5 - 226V / RAM 16GB / SSD 1024GB / Intel Arc Graphics / CÓ CẢM ỨNG</x:v>
      </x:c>
      <x:c r="N12" s="9" t="str">
        <x:v>SẴN SÀNG BÁN</x:v>
      </x:c>
      <x:c r="O12" s="11" t="n">
        <x:v>16900000</x:v>
      </x:c>
      <x:c r="P12" s="12" t="n">
        <x:v>46295</x:v>
      </x:c>
      <x:c r="Q12" s="12" t="n">
        <x:v>46295</x:v>
      </x:c>
      <x:c r="R12" s="11" t="n">
        <x:v>12</x:v>
      </x:c>
      <x:c r="S12" s="9" t="str">
        <x:v>MUA/NHẬP HÀNG</x:v>
      </x:c>
      <x:c r="T12" s="10" t="str">
        <x:v>DM-000007</x:v>
      </x:c>
      <x:c r="U12" s="10" t="str">
        <x:v>25071E802914::1</x:v>
      </x:c>
      <x:c r="V12" s="9" t="str">
        <x:v>Trường số hồ sơ</x:v>
      </x:c>
      <x:c r="W12" s="9" t="str">
        <x:v>Aspire 14 AI A14-52MT</x:v>
      </x:c>
      <x:c r="X12" s="9" t="str">
        <x:v>Core Ultra 5 - 226V / RAM 16GB / SSD 512GB / Intel Arc Graphics / CÓ CẢM ỨNG</x:v>
      </x:c>
      <x:c r="Y12" s="9"/>
      <x:c r="Z12" s="9" t="str">
        <x:v>SERIAL_REGISTRY!A401:AA401</x:v>
      </x:c>
      <x:c r="AA12" s="9" t="str">
        <x:v>EVT-IN-650BF49654BFF27E7A75</x:v>
      </x:c>
      <x:c r="AB12" s="9"/>
      <x:c r="AC12" s="11"/>
      <x:c r="AD12" s="9"/>
    </x:row>
    <x:row r="13" ht="42" customHeight="1">
      <x:c r="A13" s="10" t="str">
        <x:v>25071T800475</x:v>
      </x:c>
      <x:c r="B13" s="9" t="str">
        <x:v>KHỚP DỮ LIỆU</x:v>
      </x:c>
      <x:c r="C13" s="9" t="str">
        <x:v>Acer</x:v>
      </x:c>
      <x:c r="D13" s="9" t="str">
        <x:v>Acer Aspire 14 AI A14-52M</x:v>
      </x:c>
      <x:c r="E13" s="10" t="str">
        <x:v>BT-000209</x:v>
      </x:c>
      <x:c r="F13" s="9" t="str">
        <x:v>Acer Aspire 14 AI A14-52M · Core Ultra 5 - 226V · có cảm ứng · Intel Arc Graphics</x:v>
      </x:c>
      <x:c r="G13" s="9" t="str">
        <x:v>Core Ultra 5 - 226V</x:v>
      </x:c>
      <x:c r="H13" s="9" t="str">
        <x:v>Core Ultra 5 - 226V</x:v>
      </x:c>
      <x:c r="I13" s="11" t="n">
        <x:v>16</x:v>
      </x:c>
      <x:c r="J13" s="11" t="n">
        <x:v>1024</x:v>
      </x:c>
      <x:c r="K13" s="9" t="str">
        <x:v>Intel Arc Graphics</x:v>
      </x:c>
      <x:c r="L13" s="9" t="str">
        <x:v>CÓ CẢM ỨNG</x:v>
      </x:c>
      <x:c r="M13" s="9" t="str">
        <x:v>Core Ultra 5 - 226V / RAM 16GB / SSD 1024GB / Intel Arc Graphics / CÓ CẢM ỨNG</x:v>
      </x:c>
      <x:c r="N13" s="9" t="str">
        <x:v>SẴN SÀNG BÁN</x:v>
      </x:c>
      <x:c r="O13" s="11" t="n">
        <x:v>16900000</x:v>
      </x:c>
      <x:c r="P13" s="12" t="n">
        <x:v>46295</x:v>
      </x:c>
      <x:c r="Q13" s="12" t="n">
        <x:v>46295</x:v>
      </x:c>
      <x:c r="R13" s="11" t="n">
        <x:v>12</x:v>
      </x:c>
      <x:c r="S13" s="9" t="str">
        <x:v>MUA/NHẬP HÀNG</x:v>
      </x:c>
      <x:c r="T13" s="10" t="str">
        <x:v>DM-000007</x:v>
      </x:c>
      <x:c r="U13" s="10" t="str">
        <x:v>25071T800475::1</x:v>
      </x:c>
      <x:c r="V13" s="9" t="str">
        <x:v>Trường số hồ sơ</x:v>
      </x:c>
      <x:c r="W13" s="9" t="str">
        <x:v>Aspire 14 AI A14-52MT</x:v>
      </x:c>
      <x:c r="X13" s="9" t="str">
        <x:v>Core Ultra 5 - 226V / RAM 16GB / SSD 512GB / Intel Arc Graphics / CÓ CẢM ỨNG</x:v>
      </x:c>
      <x:c r="Y13" s="9"/>
      <x:c r="Z13" s="9" t="str">
        <x:v>SERIAL_REGISTRY!A402:AA402</x:v>
      </x:c>
      <x:c r="AA13" s="9" t="str">
        <x:v>EVT-IN-AA355034F6276F5D6AB6</x:v>
      </x:c>
      <x:c r="AB13" s="9"/>
      <x:c r="AC13" s="11"/>
      <x:c r="AD13" s="9"/>
    </x:row>
    <x:row r="14" ht="42" customHeight="1">
      <x:c r="A14" s="10" t="str">
        <x:v>NXJK7AA00252128D867600</x:v>
      </x:c>
      <x:c r="B14" s="9" t="str">
        <x:v>KHỚP DỮ LIỆU</x:v>
      </x:c>
      <x:c r="C14" s="9" t="str">
        <x:v>Acer</x:v>
      </x:c>
      <x:c r="D14" s="9" t="str">
        <x:v>Acer Aspire 14 AI A14-52M</x:v>
      </x:c>
      <x:c r="E14" s="10" t="str">
        <x:v>BT-000209</x:v>
      </x:c>
      <x:c r="F14" s="9" t="str">
        <x:v>Acer Aspire 14 AI A14-52M · Core Ultra 5 - 226V · có cảm ứng · Intel Arc Graphics</x:v>
      </x:c>
      <x:c r="G14" s="9" t="str">
        <x:v>Core Ultra 5 - 226V</x:v>
      </x:c>
      <x:c r="H14" s="9" t="str">
        <x:v>Core Ultra 5 - 226V</x:v>
      </x:c>
      <x:c r="I14" s="11" t="n">
        <x:v>16</x:v>
      </x:c>
      <x:c r="J14" s="11" t="n">
        <x:v>1024</x:v>
      </x:c>
      <x:c r="K14" s="9" t="str">
        <x:v>Intel Arc Graphics</x:v>
      </x:c>
      <x:c r="L14" s="9" t="str">
        <x:v>CÓ CẢM ỨNG</x:v>
      </x:c>
      <x:c r="M14" s="9" t="str">
        <x:v>Core Ultra 5 - 226V / RAM 16GB / SSD 1024GB / Intel Arc Graphics / CÓ CẢM ỨNG</x:v>
      </x:c>
      <x:c r="N14" s="9" t="str">
        <x:v>SẴN SÀNG BÁN</x:v>
      </x:c>
      <x:c r="O14" s="11" t="n">
        <x:v>16900000</x:v>
      </x:c>
      <x:c r="P14" s="12" t="n">
        <x:v>46296</x:v>
      </x:c>
      <x:c r="Q14" s="12" t="n">
        <x:v>46296</x:v>
      </x:c>
      <x:c r="R14" s="11" t="n">
        <x:v>11</x:v>
      </x:c>
      <x:c r="S14" s="9" t="str">
        <x:v>MUA/NHẬP HÀNG</x:v>
      </x:c>
      <x:c r="T14" s="10" t="str">
        <x:v>DM-000007</x:v>
      </x:c>
      <x:c r="U14" s="10" t="str">
        <x:v>NXJK7AA00252128D867600::1</x:v>
      </x:c>
      <x:c r="V14" s="9" t="str">
        <x:v>Trường số hồ sơ</x:v>
      </x:c>
      <x:c r="W14" s="9" t="str">
        <x:v>Aspire 14 AI A14-52MT</x:v>
      </x:c>
      <x:c r="X14" s="9" t="str">
        <x:v>Core Ultra 5 - 226V / RAM 16GB / SSD 1024GB / Intel Arc Graphics / CÓ CẢM ỨNG</x:v>
      </x:c>
      <x:c r="Y14" s="9"/>
      <x:c r="Z14" s="9" t="str">
        <x:v>SERIAL_REGISTRY!A409:AA409</x:v>
      </x:c>
      <x:c r="AA14" s="9" t="str">
        <x:v>EVT-IN-742DE8B87B32C4A24B4A</x:v>
      </x:c>
      <x:c r="AB14" s="9"/>
      <x:c r="AC14" s="11"/>
      <x:c r="AD14" s="9"/>
    </x:row>
    <x:row r="15" ht="42" customHeight="1">
      <x:c r="A15" s="10" t="str">
        <x:v>NXJK7AA0025212BBF77600</x:v>
      </x:c>
      <x:c r="B15" s="9" t="str">
        <x:v>KHỚP DỮ LIỆU</x:v>
      </x:c>
      <x:c r="C15" s="9" t="str">
        <x:v>Acer</x:v>
      </x:c>
      <x:c r="D15" s="9" t="str">
        <x:v>Acer Aspire 14 AI A14-52M</x:v>
      </x:c>
      <x:c r="E15" s="10" t="str">
        <x:v>BT-000209</x:v>
      </x:c>
      <x:c r="F15" s="9" t="str">
        <x:v>Acer Aspire 14 AI A14-52M · Core Ultra 5 - 226V · có cảm ứng · Intel Arc Graphics</x:v>
      </x:c>
      <x:c r="G15" s="9" t="str">
        <x:v>Core Ultra 5 - 226V</x:v>
      </x:c>
      <x:c r="H15" s="9" t="str">
        <x:v>Core Ultra 5 - 226V</x:v>
      </x:c>
      <x:c r="I15" s="11" t="n">
        <x:v>16</x:v>
      </x:c>
      <x:c r="J15" s="11" t="n">
        <x:v>1024</x:v>
      </x:c>
      <x:c r="K15" s="9" t="str">
        <x:v>Intel Arc Graphics</x:v>
      </x:c>
      <x:c r="L15" s="9" t="str">
        <x:v>CÓ CẢM ỨNG</x:v>
      </x:c>
      <x:c r="M15" s="9" t="str">
        <x:v>Core Ultra 5 - 226V / RAM 16GB / SSD 1024GB / Intel Arc Graphics / CÓ CẢM ỨNG</x:v>
      </x:c>
      <x:c r="N15" s="9" t="str">
        <x:v>SẴN SÀNG BÁN</x:v>
      </x:c>
      <x:c r="O15" s="11" t="n">
        <x:v>16900000</x:v>
      </x:c>
      <x:c r="P15" s="12" t="n">
        <x:v>46296</x:v>
      </x:c>
      <x:c r="Q15" s="12" t="n">
        <x:v>46296</x:v>
      </x:c>
      <x:c r="R15" s="11" t="n">
        <x:v>11</x:v>
      </x:c>
      <x:c r="S15" s="9" t="str">
        <x:v>MUA/NHẬP HÀNG</x:v>
      </x:c>
      <x:c r="T15" s="10" t="str">
        <x:v>DM-000007</x:v>
      </x:c>
      <x:c r="U15" s="10" t="str">
        <x:v>NXJK7AA0025212BBF77600::1</x:v>
      </x:c>
      <x:c r="V15" s="9" t="str">
        <x:v>Trường số hồ sơ</x:v>
      </x:c>
      <x:c r="W15" s="9" t="str">
        <x:v>Aspire 14 AI A14-52MT</x:v>
      </x:c>
      <x:c r="X15" s="9" t="str">
        <x:v>Core Ultra 5 - 226V / RAM 16GB / SSD 1024GB / Intel Arc Graphics / CÓ CẢM ỨNG</x:v>
      </x:c>
      <x:c r="Y15" s="9"/>
      <x:c r="Z15" s="9" t="str">
        <x:v>SERIAL_REGISTRY!A410:AA410</x:v>
      </x:c>
      <x:c r="AA15" s="9" t="str">
        <x:v>EVT-IN-B05E87025E073964226E</x:v>
      </x:c>
      <x:c r="AB15" s="9"/>
      <x:c r="AC15" s="11"/>
      <x:c r="AD15" s="9"/>
    </x:row>
    <x:row r="16" ht="42" customHeight="1">
      <x:c r="A16" s="10" t="str">
        <x:v>NXJK7AA0025212BECE7600</x:v>
      </x:c>
      <x:c r="B16" s="9" t="str">
        <x:v>KHỚP DỮ LIỆU</x:v>
      </x:c>
      <x:c r="C16" s="9" t="str">
        <x:v>Acer</x:v>
      </x:c>
      <x:c r="D16" s="9" t="str">
        <x:v>Acer Aspire 14 AI A14-52M</x:v>
      </x:c>
      <x:c r="E16" s="10" t="str">
        <x:v>BT-000209</x:v>
      </x:c>
      <x:c r="F16" s="9" t="str">
        <x:v>Acer Aspire 14 AI A14-52M · Core Ultra 5 - 226V · có cảm ứng · Intel Arc Graphics</x:v>
      </x:c>
      <x:c r="G16" s="9" t="str">
        <x:v>Core Ultra 5 - 226V</x:v>
      </x:c>
      <x:c r="H16" s="9" t="str">
        <x:v>Core Ultra 5 - 226V</x:v>
      </x:c>
      <x:c r="I16" s="11" t="n">
        <x:v>16</x:v>
      </x:c>
      <x:c r="J16" s="11" t="n">
        <x:v>1024</x:v>
      </x:c>
      <x:c r="K16" s="9" t="str">
        <x:v>Intel Arc Graphics</x:v>
      </x:c>
      <x:c r="L16" s="9" t="str">
        <x:v>CÓ CẢM ỨNG</x:v>
      </x:c>
      <x:c r="M16" s="9" t="str">
        <x:v>Core Ultra 5 - 226V / RAM 16GB / SSD 1024GB / Intel Arc Graphics / CÓ CẢM ỨNG</x:v>
      </x:c>
      <x:c r="N16" s="9" t="str">
        <x:v>SẴN SÀNG BÁN</x:v>
      </x:c>
      <x:c r="O16" s="11" t="n">
        <x:v>16900000</x:v>
      </x:c>
      <x:c r="P16" s="12" t="n">
        <x:v>46296</x:v>
      </x:c>
      <x:c r="Q16" s="12" t="n">
        <x:v>46296</x:v>
      </x:c>
      <x:c r="R16" s="11" t="n">
        <x:v>11</x:v>
      </x:c>
      <x:c r="S16" s="9" t="str">
        <x:v>MUA/NHẬP HÀNG</x:v>
      </x:c>
      <x:c r="T16" s="10" t="str">
        <x:v>DM-000007</x:v>
      </x:c>
      <x:c r="U16" s="10" t="str">
        <x:v>NXJK7AA0025212BECE7600::1</x:v>
      </x:c>
      <x:c r="V16" s="9" t="str">
        <x:v>Trường số hồ sơ</x:v>
      </x:c>
      <x:c r="W16" s="9" t="str">
        <x:v>Aspire 14 AI A14-52MT</x:v>
      </x:c>
      <x:c r="X16" s="9" t="str">
        <x:v>Core Ultra 5 - 226V / RAM 16GB / SSD 1024GB / Intel Arc Graphics / CÓ CẢM ỨNG</x:v>
      </x:c>
      <x:c r="Y16" s="9"/>
      <x:c r="Z16" s="9" t="str">
        <x:v>SERIAL_REGISTRY!A411:AA411</x:v>
      </x:c>
      <x:c r="AA16" s="9" t="str">
        <x:v>EVT-IN-22EBD05ED8A343C04DAF</x:v>
      </x:c>
      <x:c r="AB16" s="9"/>
      <x:c r="AC16" s="11"/>
      <x:c r="AD16" s="9"/>
    </x:row>
    <x:row r="17" ht="42" customHeight="1">
      <x:c r="A17" s="10" t="str">
        <x:v>NXJK7AA0025212EF667600</x:v>
      </x:c>
      <x:c r="B17" s="9" t="str">
        <x:v>KHỚP DỮ LIỆU</x:v>
      </x:c>
      <x:c r="C17" s="9" t="str">
        <x:v>Acer</x:v>
      </x:c>
      <x:c r="D17" s="9" t="str">
        <x:v>Acer Aspire 14 AI A14-52M</x:v>
      </x:c>
      <x:c r="E17" s="10" t="str">
        <x:v>BT-000209</x:v>
      </x:c>
      <x:c r="F17" s="9" t="str">
        <x:v>Acer Aspire 14 AI A14-52M · Core Ultra 5 - 226V · có cảm ứng · Intel Arc Graphics</x:v>
      </x:c>
      <x:c r="G17" s="9" t="str">
        <x:v>Core Ultra 5 - 226V</x:v>
      </x:c>
      <x:c r="H17" s="9" t="str">
        <x:v>Core Ultra 5 - 226V</x:v>
      </x:c>
      <x:c r="I17" s="11" t="n">
        <x:v>16</x:v>
      </x:c>
      <x:c r="J17" s="11" t="n">
        <x:v>1024</x:v>
      </x:c>
      <x:c r="K17" s="9" t="str">
        <x:v>Intel Arc Graphics</x:v>
      </x:c>
      <x:c r="L17" s="9" t="str">
        <x:v>CÓ CẢM ỨNG</x:v>
      </x:c>
      <x:c r="M17" s="9" t="str">
        <x:v>Core Ultra 5 - 226V / RAM 16GB / SSD 1024GB / Intel Arc Graphics / CÓ CẢM ỨNG</x:v>
      </x:c>
      <x:c r="N17" s="9" t="str">
        <x:v>SẴN SÀNG BÁN</x:v>
      </x:c>
      <x:c r="O17" s="11" t="n">
        <x:v>16900000</x:v>
      </x:c>
      <x:c r="P17" s="12" t="n">
        <x:v>46296</x:v>
      </x:c>
      <x:c r="Q17" s="12" t="n">
        <x:v>46296</x:v>
      </x:c>
      <x:c r="R17" s="11" t="n">
        <x:v>11</x:v>
      </x:c>
      <x:c r="S17" s="9" t="str">
        <x:v>MUA/NHẬP HÀNG</x:v>
      </x:c>
      <x:c r="T17" s="10" t="str">
        <x:v>DM-000007</x:v>
      </x:c>
      <x:c r="U17" s="10" t="str">
        <x:v>NXJK7AA0025212EF667600::1</x:v>
      </x:c>
      <x:c r="V17" s="9" t="str">
        <x:v>Trường số hồ sơ</x:v>
      </x:c>
      <x:c r="W17" s="9" t="str">
        <x:v>Aspire 14 AI A14-52MT</x:v>
      </x:c>
      <x:c r="X17" s="9" t="str">
        <x:v>Core Ultra 5 - 226V / RAM 16GB / SSD 1024GB / Intel Arc Graphics / CÓ CẢM ỨNG</x:v>
      </x:c>
      <x:c r="Y17" s="9"/>
      <x:c r="Z17" s="9" t="str">
        <x:v>SERIAL_REGISTRY!A408:AA408</x:v>
      </x:c>
      <x:c r="AA17" s="9" t="str">
        <x:v>EVT-IN-6B3051CC684768EDA2B7</x:v>
      </x:c>
      <x:c r="AB17" s="9"/>
      <x:c r="AC17" s="11"/>
      <x:c r="AD17" s="9"/>
    </x:row>
    <x:row r="18" ht="42" customHeight="1">
      <x:c r="A18" s="10" t="str">
        <x:v>NXJK7AA0025411883A7600</x:v>
      </x:c>
      <x:c r="B18" s="9" t="str">
        <x:v>KHỚP DỮ LIỆU</x:v>
      </x:c>
      <x:c r="C18" s="9" t="str">
        <x:v>Acer</x:v>
      </x:c>
      <x:c r="D18" s="9" t="str">
        <x:v>Acer Aspire 14 AI A14-52M</x:v>
      </x:c>
      <x:c r="E18" s="10" t="str">
        <x:v>BT-000209</x:v>
      </x:c>
      <x:c r="F18" s="9" t="str">
        <x:v>Acer Aspire 14 AI A14-52M · Core Ultra 5 - 226V · có cảm ứng · Intel Arc Graphics</x:v>
      </x:c>
      <x:c r="G18" s="9" t="str">
        <x:v>Core Ultra 5 - 226V</x:v>
      </x:c>
      <x:c r="H18" s="9" t="str">
        <x:v>Core Ultra 5 - 226V</x:v>
      </x:c>
      <x:c r="I18" s="11" t="n">
        <x:v>16</x:v>
      </x:c>
      <x:c r="J18" s="11" t="n">
        <x:v>1024</x:v>
      </x:c>
      <x:c r="K18" s="9" t="str">
        <x:v>Intel Arc Graphics</x:v>
      </x:c>
      <x:c r="L18" s="9" t="str">
        <x:v>CÓ CẢM ỨNG</x:v>
      </x:c>
      <x:c r="M18" s="9" t="str">
        <x:v>Core Ultra 5 - 226V / RAM 16GB / SSD 1024GB / Intel Arc Graphics / CÓ CẢM ỨNG</x:v>
      </x:c>
      <x:c r="N18" s="9" t="str">
        <x:v>SẴN SÀNG BÁN</x:v>
      </x:c>
      <x:c r="O18" s="11" t="n">
        <x:v>16900000</x:v>
      </x:c>
      <x:c r="P18" s="12" t="n">
        <x:v>46296</x:v>
      </x:c>
      <x:c r="Q18" s="12" t="n">
        <x:v>46296</x:v>
      </x:c>
      <x:c r="R18" s="11" t="n">
        <x:v>11</x:v>
      </x:c>
      <x:c r="S18" s="9" t="str">
        <x:v>MUA/NHẬP HÀNG</x:v>
      </x:c>
      <x:c r="T18" s="10" t="str">
        <x:v>DM-000007</x:v>
      </x:c>
      <x:c r="U18" s="10" t="str">
        <x:v>NXJK7AA0025411883A7600::1</x:v>
      </x:c>
      <x:c r="V18" s="9" t="str">
        <x:v>Trường số hồ sơ</x:v>
      </x:c>
      <x:c r="W18" s="9" t="str">
        <x:v>Aspire 14 AI A14-52MT</x:v>
      </x:c>
      <x:c r="X18" s="9" t="str">
        <x:v>Core Ultra 5 - 226V / RAM 16GB / SSD 1024GB / Intel Arc Graphics / CÓ CẢM ỨNG</x:v>
      </x:c>
      <x:c r="Y18" s="9"/>
      <x:c r="Z18" s="9" t="str">
        <x:v>SERIAL_REGISTRY!A412:AA412</x:v>
      </x:c>
      <x:c r="AA18" s="9" t="str">
        <x:v>EVT-IN-E9A3882920AE2DAC6E0B</x:v>
      </x:c>
      <x:c r="AB18" s="9"/>
      <x:c r="AC18" s="11"/>
      <x:c r="AD18" s="9"/>
    </x:row>
    <x:row r="19" ht="42" customHeight="1">
      <x:c r="A19" s="10" t="str">
        <x:v>NXJK7AA0025422B7D67600</x:v>
      </x:c>
      <x:c r="B19" s="9" t="str">
        <x:v>KHỚP DỮ LIỆU</x:v>
      </x:c>
      <x:c r="C19" s="9" t="str">
        <x:v>Acer</x:v>
      </x:c>
      <x:c r="D19" s="9" t="str">
        <x:v>Acer Aspire 14 AI A14-52M</x:v>
      </x:c>
      <x:c r="E19" s="10" t="str">
        <x:v>BT-000209</x:v>
      </x:c>
      <x:c r="F19" s="9" t="str">
        <x:v>Acer Aspire 14 AI A14-52M · Core Ultra 5 - 226V · có cảm ứng · Intel Arc Graphics</x:v>
      </x:c>
      <x:c r="G19" s="9" t="str">
        <x:v>Core Ultra 5 - 226V</x:v>
      </x:c>
      <x:c r="H19" s="9" t="str">
        <x:v>Core Ultra 5 - 226V</x:v>
      </x:c>
      <x:c r="I19" s="11" t="n">
        <x:v>16</x:v>
      </x:c>
      <x:c r="J19" s="11" t="n">
        <x:v>1024</x:v>
      </x:c>
      <x:c r="K19" s="9" t="str">
        <x:v>Intel Arc Graphics</x:v>
      </x:c>
      <x:c r="L19" s="9" t="str">
        <x:v>CÓ CẢM ỨNG</x:v>
      </x:c>
      <x:c r="M19" s="9" t="str">
        <x:v>Core Ultra 5 - 226V / RAM 16GB / SSD 1024GB / Intel Arc Graphics / CÓ CẢM ỨNG</x:v>
      </x:c>
      <x:c r="N19" s="9" t="str">
        <x:v>SẴN SÀNG BÁN</x:v>
      </x:c>
      <x:c r="O19" s="11" t="n">
        <x:v>16900000</x:v>
      </x:c>
      <x:c r="P19" s="12" t="n">
        <x:v>46296</x:v>
      </x:c>
      <x:c r="Q19" s="12" t="n">
        <x:v>46296</x:v>
      </x:c>
      <x:c r="R19" s="11" t="n">
        <x:v>11</x:v>
      </x:c>
      <x:c r="S19" s="9" t="str">
        <x:v>MUA/NHẬP HÀNG</x:v>
      </x:c>
      <x:c r="T19" s="10" t="str">
        <x:v>DM-000007</x:v>
      </x:c>
      <x:c r="U19" s="10" t="str">
        <x:v>NXJK7AA0025422B7D67600::1</x:v>
      </x:c>
      <x:c r="V19" s="9" t="str">
        <x:v>Trường số hồ sơ</x:v>
      </x:c>
      <x:c r="W19" s="9" t="str">
        <x:v>Aspire 14 AI A14-52MT</x:v>
      </x:c>
      <x:c r="X19" s="9" t="str">
        <x:v>Core Ultra 5 - 226V / RAM 16GB / SSD 1024GB / Intel Arc Graphics / CÓ CẢM ỨNG</x:v>
      </x:c>
      <x:c r="Y19" s="9"/>
      <x:c r="Z19" s="9" t="str">
        <x:v>SERIAL_REGISTRY!A413:AA413</x:v>
      </x:c>
      <x:c r="AA19" s="9" t="str">
        <x:v>EVT-IN-104C818B8AC0110B3571</x:v>
      </x:c>
      <x:c r="AB19" s="9"/>
      <x:c r="AC19" s="11"/>
      <x:c r="AD19" s="9"/>
    </x:row>
    <x:row r="20" ht="42" customHeight="1">
      <x:c r="A20" s="10" t="str">
        <x:v>NHQX6SV00855200CB70X15</x:v>
      </x:c>
      <x:c r="B20" s="9" t="str">
        <x:v>KHỚP DỮ LIỆU</x:v>
      </x:c>
      <x:c r="C20" s="9" t="str">
        <x:v>Acer</x:v>
      </x:c>
      <x:c r="D20" s="9" t="str">
        <x:v>Acer Aspire 7 A715 - 59G</x:v>
      </x:c>
      <x:c r="E20" s="10" t="str">
        <x:v>BT-000127</x:v>
      </x:c>
      <x:c r="F20" s="9" t="str">
        <x:v>Acer Aspire 7 A715 - 59G · Core i7 - 240H · KHÔNG CẢM ỨNG · LAPTOP THƯỜNG · RTX 3050 6GB</x:v>
      </x:c>
      <x:c r="G20" s="9" t="str">
        <x:v>Core i7 - 240H</x:v>
      </x:c>
      <x:c r="H20" s="9" t="str">
        <x:v>Core i7 - 240H</x:v>
      </x:c>
      <x:c r="I20" s="11" t="n">
        <x:v>16</x:v>
      </x:c>
      <x:c r="J20" s="11" t="n">
        <x:v>512</x:v>
      </x:c>
      <x:c r="K20" s="9" t="str">
        <x:v>RTX 3050 6GB</x:v>
      </x:c>
      <x:c r="L20" s="9" t="str">
        <x:v>KHÔNG CẢM ỨNG</x:v>
      </x:c>
      <x:c r="M20" s="9" t="str">
        <x:v>Core i7 - 240H / Ram 16GB / SSD 512GB PCIE / 15.6 FHD 144HZ / VGA 6GB RTX3050</x:v>
      </x:c>
      <x:c r="N20" s="9" t="str">
        <x:v>SẴN SÀNG BÁN</x:v>
      </x:c>
      <x:c r="O20" s="11" t="n">
        <x:v>23800000</x:v>
      </x:c>
      <x:c r="P20" s="12" t="n">
        <x:v>46258</x:v>
      </x:c>
      <x:c r="Q20" s="12" t="n">
        <x:v>46258</x:v>
      </x:c>
      <x:c r="R20" s="11" t="n">
        <x:v>49</x:v>
      </x:c>
      <x:c r="S20" s="9" t="str">
        <x:v>THU MÁY KHÁCH</x:v>
      </x:c>
      <x:c r="T20" s="10" t="str">
        <x:v>DM-000098</x:v>
      </x:c>
      <x:c r="U20" s="10" t="str">
        <x:v>NHQX6SV00855200CB70X15::1</x:v>
      </x:c>
      <x:c r="V20" s="9" t="str">
        <x:v>Tách từ cấu hình theo serial</x:v>
      </x:c>
      <x:c r="W20" s="9" t="str">
        <x:v>Acer Aspire 7 A715 - 59G</x:v>
      </x:c>
      <x:c r="X20" s="9" t="str">
        <x:v>Core i7 - 240H / Ram 16GB / SSD 512GB PCIE / 15.6 FHD 144HZ / VGA 6GB RTX3050</x:v>
      </x:c>
      <x:c r="Y20" s="9"/>
      <x:c r="Z20" s="9" t="str">
        <x:v>SERIAL_REGISTRY!A224:AA224</x:v>
      </x:c>
      <x:c r="AA20" s="9" t="str">
        <x:v>EVT-PRICE-78F82AEBAC1EB8A660E7</x:v>
      </x:c>
      <x:c r="AB20" s="9"/>
      <x:c r="AC20" s="11"/>
      <x:c r="AD20" s="9"/>
    </x:row>
    <x:row r="21" ht="42" customHeight="1">
      <x:c r="A21" s="10" t="str">
        <x:v>HXJL43B61WFY</x:v>
      </x:c>
      <x:c r="B21" s="9" t="str">
        <x:v>KHỚP DỮ LIỆU</x:v>
      </x:c>
      <x:c r="C21" s="9" t="str">
        <x:v>Apple</x:v>
      </x:c>
      <x:c r="D21" s="9" t="str">
        <x:v>Apple MacBook Air M1</x:v>
      </x:c>
      <x:c r="E21" s="10" t="str">
        <x:v>BT-000037</x:v>
      </x:c>
      <x:c r="F21" s="9" t="str">
        <x:v>Apple MacBook Air M1 · Apple M1 · không cảm ứng</x:v>
      </x:c>
      <x:c r="G21" s="9" t="str">
        <x:v>Apple M1</x:v>
      </x:c>
      <x:c r="H21" s="9" t="str">
        <x:v>Apple M1</x:v>
      </x:c>
      <x:c r="I21" s="11" t="n">
        <x:v>8</x:v>
      </x:c>
      <x:c r="J21" s="11" t="n">
        <x:v>256</x:v>
      </x:c>
      <x:c r="K21" s="9" t="str">
        <x:v>Apple GPU 7 nhân</x:v>
      </x:c>
      <x:c r="L21" s="9" t="str">
        <x:v>KHÔNG CẢM ỨNG</x:v>
      </x:c>
      <x:c r="M21" s="9" t="str">
        <x:v>Apple M1 / RAM 8GB / SSD 256GB / Apple GPU 7 nhân / KHÔNG CẢM ỨNG</x:v>
      </x:c>
      <x:c r="N21" s="9" t="str">
        <x:v>SẴN SÀNG BÁN</x:v>
      </x:c>
      <x:c r="O21" s="11" t="n">
        <x:v>13500000</x:v>
      </x:c>
      <x:c r="P21" s="12" t="n">
        <x:v>46283</x:v>
      </x:c>
      <x:c r="Q21" s="12" t="n">
        <x:v>46283</x:v>
      </x:c>
      <x:c r="R21" s="11" t="n">
        <x:v>24</x:v>
      </x:c>
      <x:c r="S21" s="9" t="str">
        <x:v>MUA/NHẬP HÀNG</x:v>
      </x:c>
      <x:c r="T21" s="10" t="str">
        <x:v>DM-000029</x:v>
      </x:c>
      <x:c r="U21" s="10" t="str">
        <x:v>HXJL43B61WFY::1</x:v>
      </x:c>
      <x:c r="V21" s="9" t="str">
        <x:v>Trường số hồ sơ</x:v>
      </x:c>
      <x:c r="W21" s="9" t="str">
        <x:v>Macbook Air M1 2020</x:v>
      </x:c>
      <x:c r="X21" s="9" t="str">
        <x:v>Apple M1 / RAM 8GB / SSD 256GB / Apple GPU 7 nhân / KHÔNG CẢM ỨNG</x:v>
      </x:c>
      <x:c r="Y21" s="9"/>
      <x:c r="Z21" s="9" t="str">
        <x:v>SERIAL_REGISTRY!A366:AA366</x:v>
      </x:c>
      <x:c r="AA21" s="9" t="str">
        <x:v>EVT-IN-8261A154EDBF255C3E78</x:v>
      </x:c>
      <x:c r="AB21" s="9"/>
      <x:c r="AC21" s="11"/>
      <x:c r="AD21" s="9"/>
    </x:row>
    <x:row r="22" ht="42" customHeight="1">
      <x:c r="A22" s="10" t="str">
        <x:v>HXJL43BL1WFY</x:v>
      </x:c>
      <x:c r="B22" s="9" t="str">
        <x:v>KHỚP DỮ LIỆU</x:v>
      </x:c>
      <x:c r="C22" s="9" t="str">
        <x:v>Apple</x:v>
      </x:c>
      <x:c r="D22" s="9" t="str">
        <x:v>Apple MacBook Air M1</x:v>
      </x:c>
      <x:c r="E22" s="10" t="str">
        <x:v>BT-000037</x:v>
      </x:c>
      <x:c r="F22" s="9" t="str">
        <x:v>Apple MacBook Air M1 · Apple M1 · không cảm ứng</x:v>
      </x:c>
      <x:c r="G22" s="9" t="str">
        <x:v>Apple M1</x:v>
      </x:c>
      <x:c r="H22" s="9" t="str">
        <x:v>Apple M1</x:v>
      </x:c>
      <x:c r="I22" s="11" t="n">
        <x:v>8</x:v>
      </x:c>
      <x:c r="J22" s="11" t="n">
        <x:v>256</x:v>
      </x:c>
      <x:c r="K22" s="9" t="str">
        <x:v>Apple GPU 7 nhân</x:v>
      </x:c>
      <x:c r="L22" s="9" t="str">
        <x:v>KHÔNG CẢM ỨNG</x:v>
      </x:c>
      <x:c r="M22" s="9" t="str">
        <x:v>Apple M1 / RAM 8GB / SSD 256GB / Apple GPU 7 nhân / KHÔNG CẢM ỨNG</x:v>
      </x:c>
      <x:c r="N22" s="9" t="str">
        <x:v>SẴN SÀNG BÁN</x:v>
      </x:c>
      <x:c r="O22" s="11" t="n">
        <x:v>13500000</x:v>
      </x:c>
      <x:c r="P22" s="12" t="n">
        <x:v>46283</x:v>
      </x:c>
      <x:c r="Q22" s="12" t="n">
        <x:v>46283</x:v>
      </x:c>
      <x:c r="R22" s="11" t="n">
        <x:v>24</x:v>
      </x:c>
      <x:c r="S22" s="9" t="str">
        <x:v>MUA/NHẬP HÀNG</x:v>
      </x:c>
      <x:c r="T22" s="10" t="str">
        <x:v>DM-000029</x:v>
      </x:c>
      <x:c r="U22" s="10" t="str">
        <x:v>HXJL43BL1WFY::1</x:v>
      </x:c>
      <x:c r="V22" s="9" t="str">
        <x:v>Trường số hồ sơ</x:v>
      </x:c>
      <x:c r="W22" s="9" t="str">
        <x:v>Macbook Air M1 2020</x:v>
      </x:c>
      <x:c r="X22" s="9" t="str">
        <x:v>Apple M1 / RAM 8GB / SSD 256GB / Apple GPU 7 nhân / KHÔNG CẢM ỨNG</x:v>
      </x:c>
      <x:c r="Y22" s="9"/>
      <x:c r="Z22" s="9" t="str">
        <x:v>SERIAL_REGISTRY!A370:AA370</x:v>
      </x:c>
      <x:c r="AA22" s="9" t="str">
        <x:v>EVT-IN-CFCFEB7A65EEC91CEBE4</x:v>
      </x:c>
      <x:c r="AB22" s="9"/>
      <x:c r="AC22" s="11"/>
      <x:c r="AD22" s="9"/>
    </x:row>
    <x:row r="23" ht="42" customHeight="1">
      <x:c r="A23" s="10" t="str">
        <x:v>HXJL43DB1WFY</x:v>
      </x:c>
      <x:c r="B23" s="9" t="str">
        <x:v>KHỚP DỮ LIỆU</x:v>
      </x:c>
      <x:c r="C23" s="9" t="str">
        <x:v>Apple</x:v>
      </x:c>
      <x:c r="D23" s="9" t="str">
        <x:v>Apple MacBook Air M1</x:v>
      </x:c>
      <x:c r="E23" s="10" t="str">
        <x:v>BT-000037</x:v>
      </x:c>
      <x:c r="F23" s="9" t="str">
        <x:v>Apple MacBook Air M1 · Apple M1 · không cảm ứng</x:v>
      </x:c>
      <x:c r="G23" s="9" t="str">
        <x:v>Apple M1</x:v>
      </x:c>
      <x:c r="H23" s="9" t="str">
        <x:v>Apple M1</x:v>
      </x:c>
      <x:c r="I23" s="11" t="n">
        <x:v>8</x:v>
      </x:c>
      <x:c r="J23" s="11" t="n">
        <x:v>256</x:v>
      </x:c>
      <x:c r="K23" s="9" t="str">
        <x:v>Apple GPU 7 nhân</x:v>
      </x:c>
      <x:c r="L23" s="9" t="str">
        <x:v>KHÔNG CẢM ỨNG</x:v>
      </x:c>
      <x:c r="M23" s="9" t="str">
        <x:v>Apple M1 / RAM 8GB / SSD 256GB / Apple GPU 7 nhân / KHÔNG CẢM ỨNG</x:v>
      </x:c>
      <x:c r="N23" s="9" t="str">
        <x:v>SẴN SÀNG BÁN</x:v>
      </x:c>
      <x:c r="O23" s="11" t="n">
        <x:v>13500000</x:v>
      </x:c>
      <x:c r="P23" s="12" t="n">
        <x:v>46283</x:v>
      </x:c>
      <x:c r="Q23" s="12" t="n">
        <x:v>46283</x:v>
      </x:c>
      <x:c r="R23" s="11" t="n">
        <x:v>24</x:v>
      </x:c>
      <x:c r="S23" s="9" t="str">
        <x:v>MUA/NHẬP HÀNG</x:v>
      </x:c>
      <x:c r="T23" s="10" t="str">
        <x:v>DM-000029</x:v>
      </x:c>
      <x:c r="U23" s="10" t="str">
        <x:v>HXJL43DB1WFY::1</x:v>
      </x:c>
      <x:c r="V23" s="9" t="str">
        <x:v>Trường số hồ sơ</x:v>
      </x:c>
      <x:c r="W23" s="9" t="str">
        <x:v>Macbook Air M1 2020</x:v>
      </x:c>
      <x:c r="X23" s="9" t="str">
        <x:v>Apple M1 / RAM 8GB / SSD 256GB / Apple GPU 7 nhân / KHÔNG CẢM ỨNG</x:v>
      </x:c>
      <x:c r="Y23" s="9"/>
      <x:c r="Z23" s="9" t="str">
        <x:v>SERIAL_REGISTRY!A372:AA372</x:v>
      </x:c>
      <x:c r="AA23" s="9" t="str">
        <x:v>EVT-IN-835D2271915D6BB1D22B</x:v>
      </x:c>
      <x:c r="AB23" s="9"/>
      <x:c r="AC23" s="11"/>
      <x:c r="AD23" s="9"/>
    </x:row>
    <x:row r="24" ht="42" customHeight="1">
      <x:c r="A24" s="10" t="str">
        <x:v>HXJL43EM1WFY</x:v>
      </x:c>
      <x:c r="B24" s="9" t="str">
        <x:v>KHỚP DỮ LIỆU</x:v>
      </x:c>
      <x:c r="C24" s="9" t="str">
        <x:v>Apple</x:v>
      </x:c>
      <x:c r="D24" s="9" t="str">
        <x:v>Apple MacBook Air M1</x:v>
      </x:c>
      <x:c r="E24" s="10" t="str">
        <x:v>BT-000037</x:v>
      </x:c>
      <x:c r="F24" s="9" t="str">
        <x:v>Apple MacBook Air M1 · Apple M1 · không cảm ứng</x:v>
      </x:c>
      <x:c r="G24" s="9" t="str">
        <x:v>Apple M1</x:v>
      </x:c>
      <x:c r="H24" s="9" t="str">
        <x:v>Apple M1</x:v>
      </x:c>
      <x:c r="I24" s="11" t="n">
        <x:v>8</x:v>
      </x:c>
      <x:c r="J24" s="11" t="n">
        <x:v>256</x:v>
      </x:c>
      <x:c r="K24" s="9" t="str">
        <x:v>Apple GPU 7 nhân</x:v>
      </x:c>
      <x:c r="L24" s="9" t="str">
        <x:v>KHÔNG CẢM ỨNG</x:v>
      </x:c>
      <x:c r="M24" s="9" t="str">
        <x:v>Apple M1 / RAM 8GB / SSD 256GB / Apple GPU 7 nhân / KHÔNG CẢM ỨNG</x:v>
      </x:c>
      <x:c r="N24" s="9" t="str">
        <x:v>SẴN SÀNG BÁN</x:v>
      </x:c>
      <x:c r="O24" s="11" t="n">
        <x:v>13500000</x:v>
      </x:c>
      <x:c r="P24" s="12" t="n">
        <x:v>46283</x:v>
      </x:c>
      <x:c r="Q24" s="12" t="n">
        <x:v>46283</x:v>
      </x:c>
      <x:c r="R24" s="11" t="n">
        <x:v>24</x:v>
      </x:c>
      <x:c r="S24" s="9" t="str">
        <x:v>MUA/NHẬP HÀNG</x:v>
      </x:c>
      <x:c r="T24" s="10" t="str">
        <x:v>DM-000029</x:v>
      </x:c>
      <x:c r="U24" s="10" t="str">
        <x:v>HXJL43EM1WFY::1</x:v>
      </x:c>
      <x:c r="V24" s="9" t="str">
        <x:v>Trường số hồ sơ</x:v>
      </x:c>
      <x:c r="W24" s="9" t="str">
        <x:v>Macbook Air M1 2020</x:v>
      </x:c>
      <x:c r="X24" s="9" t="str">
        <x:v>Apple M1 / RAM 8GB / SSD 256GB / Apple GPU 7 nhân / KHÔNG CẢM ỨNG</x:v>
      </x:c>
      <x:c r="Y24" s="9"/>
      <x:c r="Z24" s="9" t="str">
        <x:v>SERIAL_REGISTRY!A369:AA369</x:v>
      </x:c>
      <x:c r="AA24" s="9" t="str">
        <x:v>EVT-IN-FBFC321CFC8ADBC116A8</x:v>
      </x:c>
      <x:c r="AB24" s="9"/>
      <x:c r="AC24" s="11"/>
      <x:c r="AD24" s="9"/>
    </x:row>
    <x:row r="25" ht="42" customHeight="1">
      <x:c r="A25" s="10" t="str">
        <x:v>HXJL43GG1WFY</x:v>
      </x:c>
      <x:c r="B25" s="9" t="str">
        <x:v>KHỚP DỮ LIỆU</x:v>
      </x:c>
      <x:c r="C25" s="9" t="str">
        <x:v>Apple</x:v>
      </x:c>
      <x:c r="D25" s="9" t="str">
        <x:v>Apple MacBook Air M1</x:v>
      </x:c>
      <x:c r="E25" s="10" t="str">
        <x:v>BT-000037</x:v>
      </x:c>
      <x:c r="F25" s="9" t="str">
        <x:v>Apple MacBook Air M1 · Apple M1 · không cảm ứng</x:v>
      </x:c>
      <x:c r="G25" s="9" t="str">
        <x:v>Apple M1</x:v>
      </x:c>
      <x:c r="H25" s="9" t="str">
        <x:v>Apple M1</x:v>
      </x:c>
      <x:c r="I25" s="11" t="n">
        <x:v>8</x:v>
      </x:c>
      <x:c r="J25" s="11" t="n">
        <x:v>256</x:v>
      </x:c>
      <x:c r="K25" s="9" t="str">
        <x:v>Apple GPU 7 nhân</x:v>
      </x:c>
      <x:c r="L25" s="9" t="str">
        <x:v>KHÔNG CẢM ỨNG</x:v>
      </x:c>
      <x:c r="M25" s="9" t="str">
        <x:v>Apple M1 / RAM 8GB / SSD 256GB / Apple GPU 7 nhân / KHÔNG CẢM ỨNG</x:v>
      </x:c>
      <x:c r="N25" s="9" t="str">
        <x:v>SẴN SÀNG BÁN</x:v>
      </x:c>
      <x:c r="O25" s="11" t="n">
        <x:v>13500000</x:v>
      </x:c>
      <x:c r="P25" s="12" t="n">
        <x:v>46283</x:v>
      </x:c>
      <x:c r="Q25" s="12" t="n">
        <x:v>46283</x:v>
      </x:c>
      <x:c r="R25" s="11" t="n">
        <x:v>24</x:v>
      </x:c>
      <x:c r="S25" s="9" t="str">
        <x:v>MUA/NHẬP HÀNG</x:v>
      </x:c>
      <x:c r="T25" s="10" t="str">
        <x:v>DM-000029</x:v>
      </x:c>
      <x:c r="U25" s="10" t="str">
        <x:v>HXJL43GG1WFY::1</x:v>
      </x:c>
      <x:c r="V25" s="9" t="str">
        <x:v>Trường số hồ sơ</x:v>
      </x:c>
      <x:c r="W25" s="9" t="str">
        <x:v>Macbook Air M1 2020</x:v>
      </x:c>
      <x:c r="X25" s="9" t="str">
        <x:v>Apple M1 / RAM 8GB / SSD 256GB / Apple GPU 7 nhân / KHÔNG CẢM ỨNG</x:v>
      </x:c>
      <x:c r="Y25" s="9"/>
      <x:c r="Z25" s="9" t="str">
        <x:v>SERIAL_REGISTRY!A365:AA365</x:v>
      </x:c>
      <x:c r="AA25" s="9" t="str">
        <x:v>EVT-IN-A183669159B9C2E86CE3</x:v>
      </x:c>
      <x:c r="AB25" s="9"/>
      <x:c r="AC25" s="11"/>
      <x:c r="AD25" s="9"/>
    </x:row>
    <x:row r="26" ht="42" customHeight="1">
      <x:c r="A26" s="10" t="str">
        <x:v>C92GW1KWQ05N</x:v>
      </x:c>
      <x:c r="B26" s="9" t="str">
        <x:v>KHỚP DỮ LIỆU</x:v>
      </x:c>
      <x:c r="C26" s="9" t="str">
        <x:v>Apple</x:v>
      </x:c>
      <x:c r="D26" s="9" t="str">
        <x:v>Apple Macbook Pro M1 2020</x:v>
      </x:c>
      <x:c r="E26" s="10" t="str">
        <x:v>BT-000205</x:v>
      </x:c>
      <x:c r="F26" s="9" t="str">
        <x:v>Apple Macbook Pro M1 2020 · Apple M1 · không cảm ứng · Apple GPU 8 nhân</x:v>
      </x:c>
      <x:c r="G26" s="9" t="str">
        <x:v>Apple M1</x:v>
      </x:c>
      <x:c r="H26" s="9" t="str">
        <x:v>Apple M1</x:v>
      </x:c>
      <x:c r="I26" s="11" t="n">
        <x:v>16</x:v>
      </x:c>
      <x:c r="J26" s="11" t="n">
        <x:v>256</x:v>
      </x:c>
      <x:c r="K26" s="9" t="str">
        <x:v>Apple GPU 8 nhân</x:v>
      </x:c>
      <x:c r="L26" s="9" t="str">
        <x:v>KHÔNG CẢM ỨNG</x:v>
      </x:c>
      <x:c r="M26" s="9" t="str">
        <x:v>Apple M1 / RAM 16GB / SSD 256GB / Apple GPU 8 nhân / KHÔNG CẢM ỨNG</x:v>
      </x:c>
      <x:c r="N26" s="9" t="str">
        <x:v>SẴN SÀNG BÁN</x:v>
      </x:c>
      <x:c r="O26" s="11" t="n">
        <x:v>17500000</x:v>
      </x:c>
      <x:c r="P26" s="12" t="n">
        <x:v>46292</x:v>
      </x:c>
      <x:c r="Q26" s="12" t="n">
        <x:v>46292</x:v>
      </x:c>
      <x:c r="R26" s="11" t="n">
        <x:v>15</x:v>
      </x:c>
      <x:c r="S26" s="9" t="str">
        <x:v>MUA/NHẬP HÀNG</x:v>
      </x:c>
      <x:c r="T26" s="10" t="str">
        <x:v>DM-000157</x:v>
      </x:c>
      <x:c r="U26" s="10" t="str">
        <x:v>C92GW1KWQ05N::1</x:v>
      </x:c>
      <x:c r="V26" s="9" t="str">
        <x:v>Trường số hồ sơ</x:v>
      </x:c>
      <x:c r="W26" s="9" t="str">
        <x:v>Macbook Pro M1 2020</x:v>
      </x:c>
      <x:c r="X26" s="9" t="str">
        <x:v>Apple M1 / RAM 16GB / SSD 256GB / Apple GPU 8 nhân / KHÔNG CẢM ỨNG</x:v>
      </x:c>
      <x:c r="Y26" s="9"/>
      <x:c r="Z26" s="9" t="str">
        <x:v>SERIAL_REGISTRY!A395:AA395</x:v>
      </x:c>
      <x:c r="AA26" s="9" t="str">
        <x:v>EVT-IN-744B702F3E469F653E67</x:v>
      </x:c>
      <x:c r="AB26" s="9"/>
      <x:c r="AC26" s="11"/>
      <x:c r="AD26" s="9"/>
    </x:row>
    <x:row r="27" ht="42" customHeight="1">
      <x:c r="A27" s="10" t="str">
        <x:v>RQR26C56QJ</x:v>
      </x:c>
      <x:c r="B27" s="9" t="str">
        <x:v>KHỚP DỮ LIỆU</x:v>
      </x:c>
      <x:c r="C27" s="9" t="str">
        <x:v>Apple</x:v>
      </x:c>
      <x:c r="D27" s="9" t="str">
        <x:v>Apple Macbook Pro M2 2022</x:v>
      </x:c>
      <x:c r="E27" s="10" t="str">
        <x:v>BT-000217</x:v>
      </x:c>
      <x:c r="F27" s="9" t="str">
        <x:v>Apple Macbook Pro M2 2022 · Apple M2 · không cảm ứng · Apple GPU 10 nhân</x:v>
      </x:c>
      <x:c r="G27" s="9" t="str">
        <x:v>Apple M2</x:v>
      </x:c>
      <x:c r="H27" s="9" t="str">
        <x:v>Apple M2</x:v>
      </x:c>
      <x:c r="I27" s="11" t="n">
        <x:v>16</x:v>
      </x:c>
      <x:c r="J27" s="11" t="n">
        <x:v>512</x:v>
      </x:c>
      <x:c r="K27" s="9" t="str">
        <x:v>Apple GPU 10 nhân</x:v>
      </x:c>
      <x:c r="L27" s="9" t="str">
        <x:v>KHÔNG CẢM ỨNG</x:v>
      </x:c>
      <x:c r="M27" s="9" t="str">
        <x:v>Apple M2 / RAM 16GB / SSD 512GB / Apple GPU 10 nhân / KHÔNG CẢM ỨNG</x:v>
      </x:c>
      <x:c r="N27" s="9" t="str">
        <x:v>SẴN SÀNG BÁN</x:v>
      </x:c>
      <x:c r="O27" s="11" t="n">
        <x:v>19900000</x:v>
      </x:c>
      <x:c r="P27" s="12" t="n">
        <x:v>46298</x:v>
      </x:c>
      <x:c r="Q27" s="12" t="n">
        <x:v>46298</x:v>
      </x:c>
      <x:c r="R27" s="11" t="n">
        <x:v>9</x:v>
      </x:c>
      <x:c r="S27" s="9" t="str">
        <x:v>MUA/NHẬP HÀNG</x:v>
      </x:c>
      <x:c r="T27" s="10" t="str">
        <x:v>DM-000079</x:v>
      </x:c>
      <x:c r="U27" s="10" t="str">
        <x:v>RQR26C56QJ::1</x:v>
      </x:c>
      <x:c r="V27" s="9" t="str">
        <x:v>Trường số hồ sơ</x:v>
      </x:c>
      <x:c r="W27" s="9" t="str">
        <x:v>Macbook Pro M2 2022</x:v>
      </x:c>
      <x:c r="X27" s="9" t="str">
        <x:v>Apple M2 / RAM 16GB / SSD 512GB / Apple GPU 10 nhân / KHÔNG CẢM ỨNG</x:v>
      </x:c>
      <x:c r="Y27" s="9"/>
      <x:c r="Z27" s="9" t="str">
        <x:v>SERIAL_REGISTRY!A429:AA429</x:v>
      </x:c>
      <x:c r="AA27" s="9" t="str">
        <x:v>EVT-IN-0B10706AE387EDBD9850</x:v>
      </x:c>
      <x:c r="AB27" s="9"/>
      <x:c r="AC27" s="11"/>
      <x:c r="AD27" s="9"/>
    </x:row>
    <x:row r="28" ht="42" customHeight="1">
      <x:c r="A28" s="10" t="str">
        <x:v>SBN0CX00U448457</x:v>
      </x:c>
      <x:c r="B28" s="9" t="str">
        <x:v>KHỚP DỮ LIỆU</x:v>
      </x:c>
      <x:c r="C28" s="9" t="str">
        <x:v>ASUS</x:v>
      </x:c>
      <x:c r="D28" s="9" t="str">
        <x:v>ASUS Vivobook 14 X1404ZA</x:v>
      </x:c>
      <x:c r="E28" s="10" t="str">
        <x:v>BT-000219</x:v>
      </x:c>
      <x:c r="F28" s="9" t="str">
        <x:v>ASUS Vivobook 14 X1404ZA · Core i5-1235U · không cảm ứng · Intel Iris Xe Graphics</x:v>
      </x:c>
      <x:c r="G28" s="9" t="str">
        <x:v>Core i5-1235U</x:v>
      </x:c>
      <x:c r="H28" s="9" t="str">
        <x:v>Core i5-1235U</x:v>
      </x:c>
      <x:c r="I28" s="11" t="n">
        <x:v>16</x:v>
      </x:c>
      <x:c r="J28" s="11" t="n">
        <x:v>512</x:v>
      </x:c>
      <x:c r="K28" s="9" t="str">
        <x:v>Intel Iris Xe Graphics</x:v>
      </x:c>
      <x:c r="L28" s="9" t="str">
        <x:v>KHÔNG CẢM ỨNG</x:v>
      </x:c>
      <x:c r="M28" s="9" t="str">
        <x:v>Core i5-1235U / RAM 16GB / SSD 512GB / Intel Iris Xe Graphics / KHÔNG CẢM ỨNG</x:v>
      </x:c>
      <x:c r="N28" s="9" t="str">
        <x:v>SẴN SÀNG BÁN</x:v>
      </x:c>
      <x:c r="O28" s="11" t="n">
        <x:v>10600000</x:v>
      </x:c>
      <x:c r="P28" s="12" t="n">
        <x:v>46298</x:v>
      </x:c>
      <x:c r="Q28" s="12" t="n">
        <x:v>46298</x:v>
      </x:c>
      <x:c r="R28" s="11" t="n">
        <x:v>9</x:v>
      </x:c>
      <x:c r="S28" s="9" t="str">
        <x:v>MUA/NHẬP HÀNG</x:v>
      </x:c>
      <x:c r="T28" s="10" t="str">
        <x:v>DM-000167</x:v>
      </x:c>
      <x:c r="U28" s="10" t="str">
        <x:v>SBN0CX00U448457::1</x:v>
      </x:c>
      <x:c r="V28" s="9" t="str">
        <x:v>Trường số hồ sơ</x:v>
      </x:c>
      <x:c r="W28" s="9" t="str">
        <x:v>Vivobook 14 X1404ZA-NK376W</x:v>
      </x:c>
      <x:c r="X28" s="9" t="str">
        <x:v>Core i5-1235U / RAM 16GB / SSD 512GB / Intel Iris Xe Graphics / KHÔNG CẢM ỨNG</x:v>
      </x:c>
      <x:c r="Y28" s="9"/>
      <x:c r="Z28" s="9" t="str">
        <x:v>SERIAL_REGISTRY!A431:AA431</x:v>
      </x:c>
      <x:c r="AA28" s="9" t="str">
        <x:v>EVT-IN-664D3275977B724309F0</x:v>
      </x:c>
      <x:c r="AB28" s="9"/>
      <x:c r="AC28" s="11"/>
      <x:c r="AD28" s="9"/>
    </x:row>
    <x:row r="29" ht="42" customHeight="1">
      <x:c r="A29" s="10" t="str">
        <x:v>T6N0CV101960243</x:v>
      </x:c>
      <x:c r="B29" s="9" t="str">
        <x:v>KHỚP DỮ LIỆU</x:v>
      </x:c>
      <x:c r="C29" s="9" t="str">
        <x:v>ASUS</x:v>
      </x:c>
      <x:c r="D29" s="9" t="str">
        <x:v>ASUS Vivobook 15 X1502VA</x:v>
      </x:c>
      <x:c r="E29" s="10" t="str">
        <x:v>BT-000222</x:v>
      </x:c>
      <x:c r="F29" s="9" t="str">
        <x:v>ASUS Vivobook 15 X1502VA · Intel Core i5-13420H · không cảm ứng · Intel UHD Graphics</x:v>
      </x:c>
      <x:c r="G29" s="9" t="str">
        <x:v>Intel Core i5-13420H</x:v>
      </x:c>
      <x:c r="H29" s="9" t="str">
        <x:v>Intel Core i5-13420H</x:v>
      </x:c>
      <x:c r="I29" s="11" t="n">
        <x:v>16</x:v>
      </x:c>
      <x:c r="J29" s="11" t="n">
        <x:v>512</x:v>
      </x:c>
      <x:c r="K29" s="9" t="str">
        <x:v>Intel UHD Graphics</x:v>
      </x:c>
      <x:c r="L29" s="9" t="str">
        <x:v>KHÔNG CẢM ỨNG</x:v>
      </x:c>
      <x:c r="M29" s="9" t="str">
        <x:v>Intel Core i5-13420H / RAM 16GB / SSD 512GB / Intel UHD Graphics / KHÔNG CẢM ỨNG</x:v>
      </x:c>
      <x:c r="N29" s="9" t="str">
        <x:v>SẴN SÀNG BÁN</x:v>
      </x:c>
      <x:c r="O29" s="11"/>
      <x:c r="P29" s="12" t="n">
        <x:v>46300</x:v>
      </x:c>
      <x:c r="Q29" s="12" t="n">
        <x:v>46300</x:v>
      </x:c>
      <x:c r="R29" s="11" t="n">
        <x:v>7</x:v>
      </x:c>
      <x:c r="S29" s="9" t="str">
        <x:v>THU MÁY KHÁCH</x:v>
      </x:c>
      <x:c r="T29" s="10" t="str">
        <x:v>DM-000170</x:v>
      </x:c>
      <x:c r="U29" s="10" t="str">
        <x:v>T6N0CV101960243::1</x:v>
      </x:c>
      <x:c r="V29" s="9" t="str">
        <x:v>Trường số hồ sơ</x:v>
      </x:c>
      <x:c r="W29" s="9" t="str">
        <x:v>Laptop ASUS Vivobook 15 X1502VA-BQ885W</x:v>
      </x:c>
      <x:c r="X29" s="9" t="str">
        <x:v>Intel Core i5-13420H / RAM 16GB / SSD 512GB / Intel UHD Graphics / KHÔNG CẢM ỨNG</x:v>
      </x:c>
      <x:c r="Y29" s="9"/>
      <x:c r="Z29" s="9" t="str">
        <x:v>SERIAL_REGISTRY!A434:AA434</x:v>
      </x:c>
      <x:c r="AA29" s="9" t="str">
        <x:v>EVT-IN-19C65BB615CBF8898649</x:v>
      </x:c>
      <x:c r="AB29" s="9"/>
      <x:c r="AC29" s="11"/>
      <x:c r="AD29" s="9"/>
    </x:row>
    <x:row r="30" ht="42" customHeight="1">
      <x:c r="A30" s="10" t="str">
        <x:v>NAN0CV03465141A</x:v>
      </x:c>
      <x:c r="B30" s="9" t="str">
        <x:v>CẦN XÁC NHẬN</x:v>
      </x:c>
      <x:c r="C30" s="9" t="str">
        <x:v>ASUS</x:v>
      </x:c>
      <x:c r="D30" s="9" t="str">
        <x:v>ASUS Vivobook 15X M3504YA - L1268W</x:v>
      </x:c>
      <x:c r="E30" s="10" t="str">
        <x:v>BT-000227</x:v>
      </x:c>
      <x:c r="F30" s="9" t="str">
        <x:v>ASUS Vivobook 15X M3504YA - L1268W · Core I5 - 12500H · không cảm ứng · Intel Iris Xe Graphics</x:v>
      </x:c>
      <x:c r="G30" s="9" t="str">
        <x:v>Core I5 - 12500H</x:v>
      </x:c>
      <x:c r="H30" s="9" t="str">
        <x:v>Core I5 - 12500H</x:v>
      </x:c>
      <x:c r="I30" s="11" t="n">
        <x:v>8</x:v>
      </x:c>
      <x:c r="J30" s="11" t="n">
        <x:v>512</x:v>
      </x:c>
      <x:c r="K30" s="9" t="str">
        <x:v>Intel Iris Xe Graphics</x:v>
      </x:c>
      <x:c r="L30" s="9" t="str">
        <x:v>KHÔNG CẢM ỨNG</x:v>
      </x:c>
      <x:c r="M30" s="9" t="str">
        <x:v>Core I5 - 12500H / RAM 8GB / SSD 512GB / Intel Iris Xe Graphics / KHÔNG CẢM ỨNG</x:v>
      </x:c>
      <x:c r="N30" s="9" t="str">
        <x:v>SẴN SÀNG BÁN</x:v>
      </x:c>
      <x:c r="O30" s="11"/>
      <x:c r="P30" s="12" t="n">
        <x:v>46302</x:v>
      </x:c>
      <x:c r="Q30" s="12" t="n">
        <x:v>46302</x:v>
      </x:c>
      <x:c r="R30" s="11" t="n">
        <x:v>5</x:v>
      </x:c>
      <x:c r="S30" s="9" t="str">
        <x:v>THU MÁY KHÁCH</x:v>
      </x:c>
      <x:c r="T30" s="10" t="str">
        <x:v>DM-000110</x:v>
      </x:c>
      <x:c r="U30" s="10" t="str">
        <x:v>NAN0CV03465141A::1</x:v>
      </x:c>
      <x:c r="V30" s="9" t="str">
        <x:v>Trường số hồ sơ</x:v>
      </x:c>
      <x:c r="W30" s="9" t="str">
        <x:v>Laptop Asus Vivobook 15X A1503ZA-L1139W</x:v>
      </x:c>
      <x:c r="X30" s="9" t="str">
        <x:v>Core I5 - 12500H / RAM 8GB / SSD 512GB / Intel Iris Xe Graphics / KHÔNG CẢM ỨNG</x:v>
      </x:c>
      <x:c r="Y30" s="9" t="str">
        <x:v>Model M3504YA được ASUS công bố dùng AMD, hồ sơ đang ghi Intel; Tên lúc nhập là A1503ZA nhưng hệ thống gắn sang M3504YA</x:v>
      </x:c>
      <x:c r="Z30" s="9" t="str">
        <x:v>SERIAL_REGISTRY!A443:AA443</x:v>
      </x:c>
      <x:c r="AA30" s="9" t="str">
        <x:v>EVT-IN-4CA8178FD54F9E1FB250</x:v>
      </x:c>
      <x:c r="AB30" s="9"/>
      <x:c r="AC30" s="11"/>
      <x:c r="AD30" s="9"/>
    </x:row>
    <x:row r="31" ht="42" customHeight="1">
      <x:c r="A31" s="10" t="str">
        <x:v>TCN0CX03S24751A</x:v>
      </x:c>
      <x:c r="B31" s="9" t="str">
        <x:v>THIẾU THÔNG SỐ</x:v>
      </x:c>
      <x:c r="C31" s="9" t="str">
        <x:v>ASUS</x:v>
      </x:c>
      <x:c r="D31" s="9" t="str">
        <x:v>ASUS Vivobook 16 X1607CA</x:v>
      </x:c>
      <x:c r="E31" s="10" t="str">
        <x:v>BT-000123</x:v>
      </x:c>
      <x:c r="F31" s="9" t="str">
        <x:v>ASUS Vivobook 16 X1607CA · Ultra 5 225H · KHÔNG CẢM ỨNG · LAPTOP THƯỜNG</x:v>
      </x:c>
      <x:c r="G31" s="9" t="str">
        <x:v>Ultra 5 225H</x:v>
      </x:c>
      <x:c r="H31" s="9" t="str">
        <x:v>Ultra 5 225H</x:v>
      </x:c>
      <x:c r="I31" s="11" t="n">
        <x:v>16</x:v>
      </x:c>
      <x:c r="J31" s="11" t="n">
        <x:v>512</x:v>
      </x:c>
      <x:c r="K31" s="9"/>
      <x:c r="L31" s="9" t="str">
        <x:v>KHÔNG CẢM ỨNG</x:v>
      </x:c>
      <x:c r="M31" s="9" t="str">
        <x:v>Ultra 5 225H / Ram 16GB / SSD 512GB PCIE / 16.0 WUXGA</x:v>
      </x:c>
      <x:c r="N31" s="9" t="str">
        <x:v>SẴN SÀNG BÁN</x:v>
      </x:c>
      <x:c r="O31" s="11" t="n">
        <x:v>17900000</x:v>
      </x:c>
      <x:c r="P31" s="12" t="n">
        <x:v>46258</x:v>
      </x:c>
      <x:c r="Q31" s="12" t="n">
        <x:v>46258</x:v>
      </x:c>
      <x:c r="R31" s="11" t="n">
        <x:v>49</x:v>
      </x:c>
      <x:c r="S31" s="9" t="str">
        <x:v>THU MÁY KHÁCH</x:v>
      </x:c>
      <x:c r="T31" s="10" t="str">
        <x:v>DM-000094</x:v>
      </x:c>
      <x:c r="U31" s="10" t="str">
        <x:v>TCN0CX03S24751A::1</x:v>
      </x:c>
      <x:c r="V31" s="9" t="str">
        <x:v>Tách từ cấu hình theo serial</x:v>
      </x:c>
      <x:c r="W31" s="9" t="str">
        <x:v>ASUS Vivobook 16 X1607CA</x:v>
      </x:c>
      <x:c r="X31" s="9" t="str">
        <x:v>Ultra 5 225H / Ram 16GB / SSD 512GB PCIE / 16.0 WUXGA</x:v>
      </x:c>
      <x:c r="Y31" s="9" t="str">
        <x:v>Chưa có GPU theo serial</x:v>
      </x:c>
      <x:c r="Z31" s="9" t="str">
        <x:v>SERIAL_REGISTRY!A220:AA220</x:v>
      </x:c>
      <x:c r="AA31" s="9" t="str">
        <x:v>EVT-PRICE-D3B7C394B4DE61582F69</x:v>
      </x:c>
      <x:c r="AB31" s="9"/>
      <x:c r="AC31" s="11"/>
      <x:c r="AD31" s="9"/>
    </x:row>
    <x:row r="32" ht="42" customHeight="1">
      <x:c r="A32" s="10" t="str">
        <x:v>T5N0CX05W196222</x:v>
      </x:c>
      <x:c r="B32" s="9" t="str">
        <x:v>KHỚP DỮ LIỆU</x:v>
      </x:c>
      <x:c r="C32" s="9" t="str">
        <x:v>ASUS</x:v>
      </x:c>
      <x:c r="D32" s="9" t="str">
        <x:v>ASUS Vivobook 16X K3605VC</x:v>
      </x:c>
      <x:c r="E32" s="10" t="str">
        <x:v>BT-000225</x:v>
      </x:c>
      <x:c r="F32" s="9" t="str">
        <x:v>ASUS Vivobook 16X K3605VC · Core I7 - 13620H · không cảm ứng · RTX 3050 4GB</x:v>
      </x:c>
      <x:c r="G32" s="9" t="str">
        <x:v>Core I7 - 13620H</x:v>
      </x:c>
      <x:c r="H32" s="9" t="str">
        <x:v>Core I7 - 13620H</x:v>
      </x:c>
      <x:c r="I32" s="11" t="n">
        <x:v>16</x:v>
      </x:c>
      <x:c r="J32" s="11" t="n">
        <x:v>512</x:v>
      </x:c>
      <x:c r="K32" s="9" t="str">
        <x:v>RTX 3050 4GB</x:v>
      </x:c>
      <x:c r="L32" s="9" t="str">
        <x:v>KHÔNG CẢM ỨNG</x:v>
      </x:c>
      <x:c r="M32" s="9" t="str">
        <x:v>Core I7 - 13620H / RAM 16GB / SSD 512GB / RTX 3050 4GB / KHÔNG CẢM ỨNG</x:v>
      </x:c>
      <x:c r="N32" s="9" t="str">
        <x:v>SẴN SÀNG BÁN</x:v>
      </x:c>
      <x:c r="O32" s="11"/>
      <x:c r="P32" s="12" t="n">
        <x:v>46302</x:v>
      </x:c>
      <x:c r="Q32" s="12" t="n">
        <x:v>46302</x:v>
      </x:c>
      <x:c r="R32" s="11" t="n">
        <x:v>5</x:v>
      </x:c>
      <x:c r="S32" s="9" t="str">
        <x:v>THU MÁY KHÁCH</x:v>
      </x:c>
      <x:c r="T32" s="10" t="str">
        <x:v>DM-000173</x:v>
      </x:c>
      <x:c r="U32" s="10" t="str">
        <x:v>T5N0CX05W196222::1</x:v>
      </x:c>
      <x:c r="V32" s="9" t="str">
        <x:v>Trường số hồ sơ</x:v>
      </x:c>
      <x:c r="W32" s="9" t="str">
        <x:v>Laptop ASUS Vivobook 16X K3605VC - RP491W</x:v>
      </x:c>
      <x:c r="X32" s="9" t="str">
        <x:v>Core I7 - 13620H / RAM 16GB / SSD 512GB / RTX 3050 4GB / KHÔNG CẢM ỨNG</x:v>
      </x:c>
      <x:c r="Y32" s="9"/>
      <x:c r="Z32" s="9" t="str">
        <x:v>SERIAL_REGISTRY!A441:AA441</x:v>
      </x:c>
      <x:c r="AA32" s="9" t="str">
        <x:v>EVT-IN-8B6827ADD6742722253A</x:v>
      </x:c>
      <x:c r="AB32" s="9"/>
      <x:c r="AC32" s="11"/>
      <x:c r="AD32" s="9"/>
    </x:row>
    <x:row r="33" ht="42" customHeight="1">
      <x:c r="A33" s="10" t="str">
        <x:v>W3N0KD00K89011D</x:v>
      </x:c>
      <x:c r="B33" s="9" t="str">
        <x:v>KHỚP DỮ LIỆU</x:v>
      </x:c>
      <x:c r="C33" s="9" t="str">
        <x:v>ASUS</x:v>
      </x:c>
      <x:c r="D33" s="9" t="str">
        <x:v>ASUS Vivobook s14 S3407QA</x:v>
      </x:c>
      <x:c r="E33" s="10" t="str">
        <x:v>BT-000223</x:v>
      </x:c>
      <x:c r="F33" s="9" t="str">
        <x:v>ASUS Vivobook s14 S3407QA · Snapdragon X X1 26 100 · không cảm ứng · Qualcomm Adreno</x:v>
      </x:c>
      <x:c r="G33" s="9" t="str">
        <x:v>Snapdragon X X1 26 100</x:v>
      </x:c>
      <x:c r="H33" s="9" t="str">
        <x:v>Snapdragon X X1 26 100</x:v>
      </x:c>
      <x:c r="I33" s="11" t="n">
        <x:v>16</x:v>
      </x:c>
      <x:c r="J33" s="11" t="n">
        <x:v>512</x:v>
      </x:c>
      <x:c r="K33" s="9" t="str">
        <x:v>Qualcomm Adreno</x:v>
      </x:c>
      <x:c r="L33" s="9" t="str">
        <x:v>KHÔNG CẢM ỨNG</x:v>
      </x:c>
      <x:c r="M33" s="9" t="str">
        <x:v>Snapdragon X X1 26 100 / RAM 16GB / SSD 512GB / Qualcomm Adreno / KHÔNG CẢM ỨNG</x:v>
      </x:c>
      <x:c r="N33" s="9" t="str">
        <x:v>SẴN SÀNG BÁN</x:v>
      </x:c>
      <x:c r="O33" s="11" t="n">
        <x:v>16500000</x:v>
      </x:c>
      <x:c r="P33" s="12" t="n">
        <x:v>46300</x:v>
      </x:c>
      <x:c r="Q33" s="12" t="n">
        <x:v>46300</x:v>
      </x:c>
      <x:c r="R33" s="11" t="n">
        <x:v>7</x:v>
      </x:c>
      <x:c r="S33" s="9" t="str">
        <x:v>THU MÁY KHÁCH</x:v>
      </x:c>
      <x:c r="T33" s="10" t="str">
        <x:v>DM-000171</x:v>
      </x:c>
      <x:c r="U33" s="10" t="str">
        <x:v>W3N0KD00K89011D::1</x:v>
      </x:c>
      <x:c r="V33" s="9" t="str">
        <x:v>Trường số hồ sơ</x:v>
      </x:c>
      <x:c r="W33" s="9" t="str">
        <x:v>Laptop Asus Vivobook S14 S3407QA-SF043WS</x:v>
      </x:c>
      <x:c r="X33" s="9" t="str">
        <x:v>Snapdragon X X1 26 100 / RAM 16GB / SSD 512GB / Qualcomm Adreno / KHÔNG CẢM ỨNG</x:v>
      </x:c>
      <x:c r="Y33" s="9"/>
      <x:c r="Z33" s="9" t="str">
        <x:v>SERIAL_REGISTRY!A435:AA435</x:v>
      </x:c>
      <x:c r="AA33" s="9" t="str">
        <x:v>EVT-IN-61CDE973C0D0CCC9C426</x:v>
      </x:c>
      <x:c r="AB33" s="9"/>
      <x:c r="AC33" s="11"/>
      <x:c r="AD33" s="9"/>
    </x:row>
    <x:row r="34" ht="42" customHeight="1">
      <x:c r="A34" s="10" t="str">
        <x:v>TBN0CX010381461</x:v>
      </x:c>
      <x:c r="B34" s="9" t="str">
        <x:v>THIẾU THÔNG SỐ</x:v>
      </x:c>
      <x:c r="C34" s="9" t="str">
        <x:v>ASUS</x:v>
      </x:c>
      <x:c r="D34" s="9" t="str">
        <x:v>ASUS Vivobook S16 S3607VA - RP056W</x:v>
      </x:c>
      <x:c r="E34" s="10" t="str">
        <x:v>BT-000126</x:v>
      </x:c>
      <x:c r="F34" s="9" t="str">
        <x:v>ASUS Vivobook S16 S3607VA - RP056W · Core 7 - 13620H · KHÔNG CẢM ỨNG · LAPTOP THƯỜNG</x:v>
      </x:c>
      <x:c r="G34" s="9" t="str">
        <x:v>Core 7 - 13620H</x:v>
      </x:c>
      <x:c r="H34" s="9" t="str">
        <x:v>Core i7 - 13620H</x:v>
      </x:c>
      <x:c r="I34" s="11" t="n">
        <x:v>16</x:v>
      </x:c>
      <x:c r="J34" s="11" t="n">
        <x:v>512</x:v>
      </x:c>
      <x:c r="K34" s="9"/>
      <x:c r="L34" s="9" t="str">
        <x:v>KHÔNG CẢM ỨNG</x:v>
      </x:c>
      <x:c r="M34" s="9" t="str">
        <x:v>Core i7 - 13620H / Ram 16GB / SSD 512GB PCIE / 16"</x:v>
      </x:c>
      <x:c r="N34" s="9" t="str">
        <x:v>SẴN SÀNG BÁN</x:v>
      </x:c>
      <x:c r="O34" s="11" t="n">
        <x:v>18500000</x:v>
      </x:c>
      <x:c r="P34" s="12" t="n">
        <x:v>46258</x:v>
      </x:c>
      <x:c r="Q34" s="12" t="n">
        <x:v>46258</x:v>
      </x:c>
      <x:c r="R34" s="11" t="n">
        <x:v>49</x:v>
      </x:c>
      <x:c r="S34" s="9" t="str">
        <x:v>THU MÁY KHÁCH</x:v>
      </x:c>
      <x:c r="T34" s="10" t="str">
        <x:v>DM-000097</x:v>
      </x:c>
      <x:c r="U34" s="10" t="str">
        <x:v>TBN0CX010381461::1</x:v>
      </x:c>
      <x:c r="V34" s="9" t="str">
        <x:v>Tách từ cấu hình theo serial</x:v>
      </x:c>
      <x:c r="W34" s="9" t="str">
        <x:v>ASUS Vivobook S16 S3607VA - RP056W</x:v>
      </x:c>
      <x:c r="X34" s="9" t="str">
        <x:v>Core i7 - 13620H / Ram 16GB / SSD 512GB PCIE / 16"</x:v>
      </x:c>
      <x:c r="Y34" s="9" t="str">
        <x:v>Chưa có GPU theo serial</x:v>
      </x:c>
      <x:c r="Z34" s="9" t="str">
        <x:v>SERIAL_REGISTRY!A223:AA223</x:v>
      </x:c>
      <x:c r="AA34" s="9" t="str">
        <x:v>EVT-PRICE-8FA38729B7FFA48F5C4E</x:v>
      </x:c>
      <x:c r="AB34" s="9"/>
      <x:c r="AC34" s="11"/>
      <x:c r="AD34" s="9"/>
    </x:row>
    <x:row r="35" ht="42" customHeight="1">
      <x:c r="A35" s="10" t="str">
        <x:v>FQKS6F4</x:v>
      </x:c>
      <x:c r="B35" s="9" t="str">
        <x:v>KHỚP DỮ LIỆU</x:v>
      </x:c>
      <x:c r="C35" s="9" t="str">
        <x:v>Dell</x:v>
      </x:c>
      <x:c r="D35" s="9" t="str">
        <x:v>Dell DC DC14250</x:v>
      </x:c>
      <x:c r="E35" s="10" t="str">
        <x:v>BT-000203</x:v>
      </x:c>
      <x:c r="F35" s="9" t="str">
        <x:v>Dell DC DC14250 · Core 5 120U · không cảm ứng · Intel Graphics</x:v>
      </x:c>
      <x:c r="G35" s="9" t="str">
        <x:v>Core 5 120U</x:v>
      </x:c>
      <x:c r="H35" s="9" t="str">
        <x:v>Core 5 120U</x:v>
      </x:c>
      <x:c r="I35" s="11" t="n">
        <x:v>16</x:v>
      </x:c>
      <x:c r="J35" s="11" t="n">
        <x:v>512</x:v>
      </x:c>
      <x:c r="K35" s="9" t="str">
        <x:v>Intel Graphics</x:v>
      </x:c>
      <x:c r="L35" s="9" t="str">
        <x:v>KHÔNG CẢM ỨNG</x:v>
      </x:c>
      <x:c r="M35" s="9" t="str">
        <x:v>Core 5 120U / RAM 16GB / SSD 512GB / Intel Graphics / KHÔNG CẢM ỨNG</x:v>
      </x:c>
      <x:c r="N35" s="9" t="str">
        <x:v>SẴN SÀNG BÁN</x:v>
      </x:c>
      <x:c r="O35" s="11" t="n">
        <x:v>18900000</x:v>
      </x:c>
      <x:c r="P35" s="12" t="n">
        <x:v>46287</x:v>
      </x:c>
      <x:c r="Q35" s="12" t="n">
        <x:v>46287</x:v>
      </x:c>
      <x:c r="R35" s="11" t="n">
        <x:v>20</x:v>
      </x:c>
      <x:c r="S35" s="9" t="str">
        <x:v>THU MÁY KHÁCH</x:v>
      </x:c>
      <x:c r="T35" s="10" t="str">
        <x:v>DM-000155</x:v>
      </x:c>
      <x:c r="U35" s="10" t="str">
        <x:v>FQKS6F4::1</x:v>
      </x:c>
      <x:c r="V35" s="9" t="str">
        <x:v>Trường số hồ sơ</x:v>
      </x:c>
      <x:c r="W35" s="9" t="str">
        <x:v>Dell 14 DC14250</x:v>
      </x:c>
      <x:c r="X35" s="9" t="str">
        <x:v>Core 5 120U / RAM 16GB / SSD 512GB / Intel Graphics / KHÔNG CẢM ỨNG</x:v>
      </x:c>
      <x:c r="Y35" s="9"/>
      <x:c r="Z35" s="9" t="str">
        <x:v>SERIAL_REGISTRY!A393:AA393</x:v>
      </x:c>
      <x:c r="AA35" s="9" t="str">
        <x:v>EVT-IN-5F878938481EA39FA0F0</x:v>
      </x:c>
      <x:c r="AB35" s="9"/>
      <x:c r="AC35" s="11"/>
      <x:c r="AD35" s="9"/>
    </x:row>
    <x:row r="36" ht="42" customHeight="1">
      <x:c r="A36" s="10" t="str">
        <x:v>2XJ6TQ3</x:v>
      </x:c>
      <x:c r="B36" s="9" t="str">
        <x:v>KHỚP DỮ LIỆU</x:v>
      </x:c>
      <x:c r="C36" s="9" t="str">
        <x:v>Dell</x:v>
      </x:c>
      <x:c r="D36" s="9" t="str">
        <x:v>Dell Latitude 5421</x:v>
      </x:c>
      <x:c r="E36" s="10" t="str">
        <x:v>BT-000181</x:v>
      </x:c>
      <x:c r="F36" s="9" t="str">
        <x:v>Dell Latitude 5421 · Core i5-11400H · không cảm ứng · Intel UHD Graphics</x:v>
      </x:c>
      <x:c r="G36" s="9" t="str">
        <x:v>Core i5-11400H</x:v>
      </x:c>
      <x:c r="H36" s="9" t="str">
        <x:v>Core i5-11400H</x:v>
      </x:c>
      <x:c r="I36" s="11" t="n">
        <x:v>16</x:v>
      </x:c>
      <x:c r="J36" s="11" t="n">
        <x:v>256</x:v>
      </x:c>
      <x:c r="K36" s="9" t="str">
        <x:v>Intel UHD Graphics</x:v>
      </x:c>
      <x:c r="L36" s="9" t="str">
        <x:v>KHÔNG CẢM ỨNG</x:v>
      </x:c>
      <x:c r="M36" s="9" t="str">
        <x:v>Core i5-11400H / RAM 16GB / SSD 256GB / Intel UHD Graphics / 14 inch FHD / KHÔNG CẢM ỨNG</x:v>
      </x:c>
      <x:c r="N36" s="9" t="str">
        <x:v>SẴN SÀNG BÁN</x:v>
      </x:c>
      <x:c r="O36" s="11" t="n">
        <x:v>10500000</x:v>
      </x:c>
      <x:c r="P36" s="12" t="n">
        <x:v>46275</x:v>
      </x:c>
      <x:c r="Q36" s="12" t="n">
        <x:v>46275</x:v>
      </x:c>
      <x:c r="R36" s="11" t="n">
        <x:v>32</x:v>
      </x:c>
      <x:c r="S36" s="9" t="str">
        <x:v>MUA/NHẬP HÀNG</x:v>
      </x:c>
      <x:c r="T36" s="10" t="str">
        <x:v>DM-000138</x:v>
      </x:c>
      <x:c r="U36" s="10" t="str">
        <x:v>2XJ6TQ3::1</x:v>
      </x:c>
      <x:c r="V36" s="9" t="str">
        <x:v>Trường số hồ sơ</x:v>
      </x:c>
      <x:c r="W36" s="9" t="str">
        <x:v>Dell Latitude 5421</x:v>
      </x:c>
      <x:c r="X36" s="9" t="str">
        <x:v>Intel Core i7-11500H / RAM 16GB / SSD 256GB / Intel UHD Graphics / KHÔNG CẢM ỨNG</x:v>
      </x:c>
      <x:c r="Y36" s="9"/>
      <x:c r="Z36" s="9" t="str">
        <x:v>SERIAL_REGISTRY!A303:AA303</x:v>
      </x:c>
      <x:c r="AA36" s="9" t="str">
        <x:v>EVT-PRICE-F93000590C11E13E6FBF</x:v>
      </x:c>
      <x:c r="AB36" s="9"/>
      <x:c r="AC36" s="11"/>
      <x:c r="AD36" s="9"/>
    </x:row>
    <x:row r="37" ht="42" customHeight="1">
      <x:c r="A37" s="10" t="str">
        <x:v>58FKKN3</x:v>
      </x:c>
      <x:c r="B37" s="9" t="str">
        <x:v>KHỚP DỮ LIỆU</x:v>
      </x:c>
      <x:c r="C37" s="9" t="str">
        <x:v>Dell</x:v>
      </x:c>
      <x:c r="D37" s="9" t="str">
        <x:v>Dell Latitude 5421</x:v>
      </x:c>
      <x:c r="E37" s="10" t="str">
        <x:v>BT-000181</x:v>
      </x:c>
      <x:c r="F37" s="9" t="str">
        <x:v>Dell Latitude 5421 · Core i5-11400H · không cảm ứng · Intel UHD Graphics</x:v>
      </x:c>
      <x:c r="G37" s="9" t="str">
        <x:v>Core i5-11400H</x:v>
      </x:c>
      <x:c r="H37" s="9" t="str">
        <x:v>Core i5-11400H</x:v>
      </x:c>
      <x:c r="I37" s="11" t="n">
        <x:v>16</x:v>
      </x:c>
      <x:c r="J37" s="11" t="n">
        <x:v>256</x:v>
      </x:c>
      <x:c r="K37" s="9" t="str">
        <x:v>Intel UHD Graphics</x:v>
      </x:c>
      <x:c r="L37" s="9" t="str">
        <x:v>KHÔNG CẢM ỨNG</x:v>
      </x:c>
      <x:c r="M37" s="9" t="str">
        <x:v>Core i5-11400H / RAM 16GB / SSD 256GB / Intel UHD Graphics / 14 inch FHD / KHÔNG CẢM ỨNG</x:v>
      </x:c>
      <x:c r="N37" s="9" t="str">
        <x:v>SẴN SÀNG BÁN</x:v>
      </x:c>
      <x:c r="O37" s="11" t="n">
        <x:v>10500000</x:v>
      </x:c>
      <x:c r="P37" s="12" t="n">
        <x:v>46275</x:v>
      </x:c>
      <x:c r="Q37" s="12" t="n">
        <x:v>46275</x:v>
      </x:c>
      <x:c r="R37" s="11" t="n">
        <x:v>32</x:v>
      </x:c>
      <x:c r="S37" s="9" t="str">
        <x:v>MUA/NHẬP HÀNG</x:v>
      </x:c>
      <x:c r="T37" s="10" t="str">
        <x:v>DM-000138</x:v>
      </x:c>
      <x:c r="U37" s="10" t="str">
        <x:v>58FKKN3::1</x:v>
      </x:c>
      <x:c r="V37" s="9" t="str">
        <x:v>Trường số hồ sơ</x:v>
      </x:c>
      <x:c r="W37" s="9" t="str">
        <x:v>Dell Latitude 5421</x:v>
      </x:c>
      <x:c r="X37" s="9" t="str">
        <x:v>Intel Core i7-11500H / RAM 16GB / SSD 256GB / Intel UHD Graphics / KHÔNG CẢM ỨNG</x:v>
      </x:c>
      <x:c r="Y37" s="9"/>
      <x:c r="Z37" s="9" t="str">
        <x:v>SERIAL_REGISTRY!A301:AA301</x:v>
      </x:c>
      <x:c r="AA37" s="9" t="str">
        <x:v>EVT-PRICE-F93000590C11E13E6FBF</x:v>
      </x:c>
      <x:c r="AB37" s="9"/>
      <x:c r="AC37" s="11"/>
      <x:c r="AD37" s="9"/>
    </x:row>
    <x:row r="38" ht="42" customHeight="1">
      <x:c r="A38" s="10" t="str">
        <x:v>67HD6J3</x:v>
      </x:c>
      <x:c r="B38" s="9" t="str">
        <x:v>KHỚP DỮ LIỆU</x:v>
      </x:c>
      <x:c r="C38" s="9" t="str">
        <x:v>Dell</x:v>
      </x:c>
      <x:c r="D38" s="9" t="str">
        <x:v>Dell Latitude 5421</x:v>
      </x:c>
      <x:c r="E38" s="10" t="str">
        <x:v>BT-000181</x:v>
      </x:c>
      <x:c r="F38" s="9" t="str">
        <x:v>Dell Latitude 5421 · Core i5-11400H · không cảm ứng · Intel UHD Graphics</x:v>
      </x:c>
      <x:c r="G38" s="9" t="str">
        <x:v>Core i5-11400H</x:v>
      </x:c>
      <x:c r="H38" s="9" t="str">
        <x:v>Core i5-11400H</x:v>
      </x:c>
      <x:c r="I38" s="11" t="n">
        <x:v>16</x:v>
      </x:c>
      <x:c r="J38" s="11" t="n">
        <x:v>256</x:v>
      </x:c>
      <x:c r="K38" s="9" t="str">
        <x:v>Intel UHD Graphics</x:v>
      </x:c>
      <x:c r="L38" s="9" t="str">
        <x:v>KHÔNG CẢM ỨNG</x:v>
      </x:c>
      <x:c r="M38" s="9" t="str">
        <x:v>Core i5-11400H / RAM 16GB / SSD 256GB / Intel UHD Graphics / 14 inch FHD / KHÔNG CẢM ỨNG</x:v>
      </x:c>
      <x:c r="N38" s="9" t="str">
        <x:v>SẴN SÀNG BÁN</x:v>
      </x:c>
      <x:c r="O38" s="11" t="n">
        <x:v>10500000</x:v>
      </x:c>
      <x:c r="P38" s="12" t="n">
        <x:v>46275</x:v>
      </x:c>
      <x:c r="Q38" s="12" t="n">
        <x:v>46275</x:v>
      </x:c>
      <x:c r="R38" s="11" t="n">
        <x:v>32</x:v>
      </x:c>
      <x:c r="S38" s="9" t="str">
        <x:v>MUA/NHẬP HÀNG</x:v>
      </x:c>
      <x:c r="T38" s="10" t="str">
        <x:v>DM-000138</x:v>
      </x:c>
      <x:c r="U38" s="10" t="str">
        <x:v>67HD6J3::1</x:v>
      </x:c>
      <x:c r="V38" s="9" t="str">
        <x:v>Trường số hồ sơ</x:v>
      </x:c>
      <x:c r="W38" s="9" t="str">
        <x:v>Dell Latitude 5421</x:v>
      </x:c>
      <x:c r="X38" s="9" t="str">
        <x:v>Intel Core i7-11500H / RAM 16GB / SSD 256GB / Intel UHD Graphics / KHÔNG CẢM ỨNG</x:v>
      </x:c>
      <x:c r="Y38" s="9"/>
      <x:c r="Z38" s="9" t="str">
        <x:v>SERIAL_REGISTRY!A304:AA304</x:v>
      </x:c>
      <x:c r="AA38" s="9" t="str">
        <x:v>EVT-PRICE-F93000590C11E13E6FBF</x:v>
      </x:c>
      <x:c r="AB38" s="9"/>
      <x:c r="AC38" s="11"/>
      <x:c r="AD38" s="9"/>
    </x:row>
    <x:row r="39" ht="42" customHeight="1">
      <x:c r="A39" s="10" t="str">
        <x:v>BPL88G3</x:v>
      </x:c>
      <x:c r="B39" s="9" t="str">
        <x:v>KHỚP DỮ LIỆU</x:v>
      </x:c>
      <x:c r="C39" s="9" t="str">
        <x:v>Dell</x:v>
      </x:c>
      <x:c r="D39" s="9" t="str">
        <x:v>Dell Latitude 5421</x:v>
      </x:c>
      <x:c r="E39" s="10" t="str">
        <x:v>BT-000181</x:v>
      </x:c>
      <x:c r="F39" s="9" t="str">
        <x:v>Dell Latitude 5421 · Core i5-11400H · không cảm ứng · Intel UHD Graphics</x:v>
      </x:c>
      <x:c r="G39" s="9" t="str">
        <x:v>Core i5-11400H</x:v>
      </x:c>
      <x:c r="H39" s="9" t="str">
        <x:v>Core i5-11400H</x:v>
      </x:c>
      <x:c r="I39" s="11" t="n">
        <x:v>16</x:v>
      </x:c>
      <x:c r="J39" s="11" t="n">
        <x:v>256</x:v>
      </x:c>
      <x:c r="K39" s="9" t="str">
        <x:v>Intel UHD Graphics</x:v>
      </x:c>
      <x:c r="L39" s="9" t="str">
        <x:v>KHÔNG CẢM ỨNG</x:v>
      </x:c>
      <x:c r="M39" s="9" t="str">
        <x:v>Core i5-11400H / RAM 16GB / SSD 256GB / Intel UHD Graphics / 14 inch FHD / KHÔNG CẢM ỨNG</x:v>
      </x:c>
      <x:c r="N39" s="9" t="str">
        <x:v>SẴN SÀNG BÁN</x:v>
      </x:c>
      <x:c r="O39" s="11" t="n">
        <x:v>10500000</x:v>
      </x:c>
      <x:c r="P39" s="12" t="n">
        <x:v>46275</x:v>
      </x:c>
      <x:c r="Q39" s="12" t="n">
        <x:v>46275</x:v>
      </x:c>
      <x:c r="R39" s="11" t="n">
        <x:v>32</x:v>
      </x:c>
      <x:c r="S39" s="9" t="str">
        <x:v>MUA/NHẬP HÀNG</x:v>
      </x:c>
      <x:c r="T39" s="10" t="str">
        <x:v>DM-000138</x:v>
      </x:c>
      <x:c r="U39" s="10" t="str">
        <x:v>BPL88G3::1</x:v>
      </x:c>
      <x:c r="V39" s="9" t="str">
        <x:v>Trường số hồ sơ</x:v>
      </x:c>
      <x:c r="W39" s="9" t="str">
        <x:v>Dell Latitude 5421</x:v>
      </x:c>
      <x:c r="X39" s="9" t="str">
        <x:v>Intel Core i7-11500H / RAM 16GB / SSD 256GB / Intel UHD Graphics / KHÔNG CẢM ỨNG</x:v>
      </x:c>
      <x:c r="Y39" s="9"/>
      <x:c r="Z39" s="9" t="str">
        <x:v>SERIAL_REGISTRY!A305:AA305</x:v>
      </x:c>
      <x:c r="AA39" s="9" t="str">
        <x:v>EVT-PRICE-F93000590C11E13E6FBF</x:v>
      </x:c>
      <x:c r="AB39" s="9"/>
      <x:c r="AC39" s="11"/>
      <x:c r="AD39" s="9"/>
    </x:row>
    <x:row r="40" ht="42" customHeight="1">
      <x:c r="A40" s="10" t="str">
        <x:v>CBW71J3</x:v>
      </x:c>
      <x:c r="B40" s="9" t="str">
        <x:v>KHỚP DỮ LIỆU</x:v>
      </x:c>
      <x:c r="C40" s="9" t="str">
        <x:v>Dell</x:v>
      </x:c>
      <x:c r="D40" s="9" t="str">
        <x:v>Dell Latitude 5421</x:v>
      </x:c>
      <x:c r="E40" s="10" t="str">
        <x:v>BT-000181</x:v>
      </x:c>
      <x:c r="F40" s="9" t="str">
        <x:v>Dell Latitude 5421 · Core i5-11400H · không cảm ứng · Intel UHD Graphics</x:v>
      </x:c>
      <x:c r="G40" s="9" t="str">
        <x:v>Core i5-11400H</x:v>
      </x:c>
      <x:c r="H40" s="9" t="str">
        <x:v>Core i5-11400H</x:v>
      </x:c>
      <x:c r="I40" s="11" t="n">
        <x:v>16</x:v>
      </x:c>
      <x:c r="J40" s="11" t="n">
        <x:v>256</x:v>
      </x:c>
      <x:c r="K40" s="9" t="str">
        <x:v>Intel UHD Graphics</x:v>
      </x:c>
      <x:c r="L40" s="9" t="str">
        <x:v>KHÔNG CẢM ỨNG</x:v>
      </x:c>
      <x:c r="M40" s="9" t="str">
        <x:v>Core i5-11400H / RAM 16GB / SSD 256GB / Intel UHD Graphics / KHÔNG CẢM ỨNG</x:v>
      </x:c>
      <x:c r="N40" s="9" t="str">
        <x:v>SẴN SÀNG BÁN</x:v>
      </x:c>
      <x:c r="O40" s="11" t="n">
        <x:v>10500000</x:v>
      </x:c>
      <x:c r="P40" s="12" t="n">
        <x:v>46276</x:v>
      </x:c>
      <x:c r="Q40" s="12" t="n">
        <x:v>46276</x:v>
      </x:c>
      <x:c r="R40" s="11" t="n">
        <x:v>31</x:v>
      </x:c>
      <x:c r="S40" s="9" t="str">
        <x:v>MUA/NHẬP HÀNG</x:v>
      </x:c>
      <x:c r="T40" s="10" t="str">
        <x:v>DM-000138</x:v>
      </x:c>
      <x:c r="U40" s="10" t="str">
        <x:v>CBW71J3::1</x:v>
      </x:c>
      <x:c r="V40" s="9" t="str">
        <x:v>Trường số hồ sơ</x:v>
      </x:c>
      <x:c r="W40" s="9" t="str">
        <x:v>Dell Latitude 5421</x:v>
      </x:c>
      <x:c r="X40" s="9" t="str">
        <x:v>Core i5-11400H / RAM 16GB / SSD 256GB / Intel UHD Graphics / KHÔNG CẢM ỨNG</x:v>
      </x:c>
      <x:c r="Y40" s="9"/>
      <x:c r="Z40" s="9" t="str">
        <x:v>SERIAL_REGISTRY!A307:AA307</x:v>
      </x:c>
      <x:c r="AA40" s="9" t="str">
        <x:v>EVT-PRICE-F93000590C11E13E6FBF</x:v>
      </x:c>
      <x:c r="AB40" s="9"/>
      <x:c r="AC40" s="11"/>
      <x:c r="AD40" s="9"/>
    </x:row>
    <x:row r="41" ht="42" customHeight="1">
      <x:c r="A41" s="10" t="str">
        <x:v>H9R78G3</x:v>
      </x:c>
      <x:c r="B41" s="9" t="str">
        <x:v>KHỚP DỮ LIỆU</x:v>
      </x:c>
      <x:c r="C41" s="9" t="str">
        <x:v>Dell</x:v>
      </x:c>
      <x:c r="D41" s="9" t="str">
        <x:v>Dell Latitude 5421</x:v>
      </x:c>
      <x:c r="E41" s="10" t="str">
        <x:v>BT-000181</x:v>
      </x:c>
      <x:c r="F41" s="9" t="str">
        <x:v>Dell Latitude 5421 · Core i5-11400H · không cảm ứng · Intel UHD Graphics</x:v>
      </x:c>
      <x:c r="G41" s="9" t="str">
        <x:v>Core i5-11400H</x:v>
      </x:c>
      <x:c r="H41" s="9" t="str">
        <x:v>Core i5-11400H</x:v>
      </x:c>
      <x:c r="I41" s="11" t="n">
        <x:v>16</x:v>
      </x:c>
      <x:c r="J41" s="11" t="n">
        <x:v>256</x:v>
      </x:c>
      <x:c r="K41" s="9" t="str">
        <x:v>Intel UHD Graphics</x:v>
      </x:c>
      <x:c r="L41" s="9" t="str">
        <x:v>KHÔNG CẢM ỨNG</x:v>
      </x:c>
      <x:c r="M41" s="9" t="str">
        <x:v>Core i5-11400H / RAM 16GB / SSD 256GB / Intel UHD Graphics / 14 inch FHD / KHÔNG CẢM ỨNG</x:v>
      </x:c>
      <x:c r="N41" s="9" t="str">
        <x:v>SẴN SÀNG BÁN</x:v>
      </x:c>
      <x:c r="O41" s="11" t="n">
        <x:v>10500000</x:v>
      </x:c>
      <x:c r="P41" s="12" t="n">
        <x:v>46275</x:v>
      </x:c>
      <x:c r="Q41" s="12" t="n">
        <x:v>46275</x:v>
      </x:c>
      <x:c r="R41" s="11" t="n">
        <x:v>32</x:v>
      </x:c>
      <x:c r="S41" s="9" t="str">
        <x:v>MUA/NHẬP HÀNG</x:v>
      </x:c>
      <x:c r="T41" s="10" t="str">
        <x:v>DM-000138</x:v>
      </x:c>
      <x:c r="U41" s="10" t="str">
        <x:v>H9R78G3::1</x:v>
      </x:c>
      <x:c r="V41" s="9" t="str">
        <x:v>Trường số hồ sơ</x:v>
      </x:c>
      <x:c r="W41" s="9" t="str">
        <x:v>Dell Latitude 5421</x:v>
      </x:c>
      <x:c r="X41" s="9" t="str">
        <x:v>Intel Core i7-11500H / RAM 16GB / SSD 256GB / Intel UHD Graphics / KHÔNG CẢM ỨNG</x:v>
      </x:c>
      <x:c r="Y41" s="9"/>
      <x:c r="Z41" s="9" t="str">
        <x:v>SERIAL_REGISTRY!A300:AA300</x:v>
      </x:c>
      <x:c r="AA41" s="9" t="str">
        <x:v>EVT-PRICE-F93000590C11E13E6FBF</x:v>
      </x:c>
      <x:c r="AB41" s="9"/>
      <x:c r="AC41" s="11"/>
      <x:c r="AD41" s="9"/>
    </x:row>
    <x:row r="42" ht="42" customHeight="1">
      <x:c r="A42" s="10" t="str">
        <x:v>1YJ12T3</x:v>
      </x:c>
      <x:c r="B42" s="9" t="str">
        <x:v>KHỚP DỮ LIỆU</x:v>
      </x:c>
      <x:c r="C42" s="9" t="str">
        <x:v>Dell</x:v>
      </x:c>
      <x:c r="D42" s="9" t="str">
        <x:v>Dell Latitude 5430</x:v>
      </x:c>
      <x:c r="E42" s="10" t="str">
        <x:v>BT-000213</x:v>
      </x:c>
      <x:c r="F42" s="9" t="str">
        <x:v>Dell Latitude 5430 · Core i7-1265U · không cảm ứng · Intel Iris Xe Graphics</x:v>
      </x:c>
      <x:c r="G42" s="9" t="str">
        <x:v>Core i7-1265U</x:v>
      </x:c>
      <x:c r="H42" s="9" t="str">
        <x:v>Core i7-1265U</x:v>
      </x:c>
      <x:c r="I42" s="11" t="n">
        <x:v>16</x:v>
      </x:c>
      <x:c r="J42" s="11" t="n">
        <x:v>512</x:v>
      </x:c>
      <x:c r="K42" s="9" t="str">
        <x:v>Intel Iris Xe Graphics</x:v>
      </x:c>
      <x:c r="L42" s="9" t="str">
        <x:v>KHÔNG CẢM ỨNG</x:v>
      </x:c>
      <x:c r="M42" s="9" t="str">
        <x:v>Core i7-1265U / RAM 16GB / SSD 512GB / Intel Iris Xe Graphics / KHÔNG CẢM ỨNG</x:v>
      </x:c>
      <x:c r="N42" s="9" t="str">
        <x:v>SẴN SÀNG BÁN</x:v>
      </x:c>
      <x:c r="O42" s="11" t="n">
        <x:v>12900000</x:v>
      </x:c>
      <x:c r="P42" s="12" t="n">
        <x:v>46296</x:v>
      </x:c>
      <x:c r="Q42" s="12" t="n">
        <x:v>46296</x:v>
      </x:c>
      <x:c r="R42" s="11" t="n">
        <x:v>11</x:v>
      </x:c>
      <x:c r="S42" s="9" t="str">
        <x:v>MUA/NHẬP HÀNG</x:v>
      </x:c>
      <x:c r="T42" s="10" t="str">
        <x:v>DM-000022</x:v>
      </x:c>
      <x:c r="U42" s="10" t="str">
        <x:v>1YJ12T3::1</x:v>
      </x:c>
      <x:c r="V42" s="9" t="str">
        <x:v>Trường số hồ sơ</x:v>
      </x:c>
      <x:c r="W42" s="9" t="str">
        <x:v>Dell Latitude 5430</x:v>
      </x:c>
      <x:c r="X42" s="9" t="str">
        <x:v>Core i7-1265U / RAM 16GB / SSD 512GB / Intel Iris Xe Graphics / KHÔNG CẢM ỨNG</x:v>
      </x:c>
      <x:c r="Y42" s="9"/>
      <x:c r="Z42" s="9" t="str">
        <x:v>SERIAL_REGISTRY!A417:AA417</x:v>
      </x:c>
      <x:c r="AA42" s="9" t="str">
        <x:v>EVT-IN-F9609EA771F60632206E</x:v>
      </x:c>
      <x:c r="AB42" s="9"/>
      <x:c r="AC42" s="11"/>
      <x:c r="AD42" s="9"/>
    </x:row>
    <x:row r="43" ht="42" customHeight="1">
      <x:c r="A43" s="10" t="str">
        <x:v>BZP22T3</x:v>
      </x:c>
      <x:c r="B43" s="9" t="str">
        <x:v>KHỚP DỮ LIỆU</x:v>
      </x:c>
      <x:c r="C43" s="9" t="str">
        <x:v>Dell</x:v>
      </x:c>
      <x:c r="D43" s="9" t="str">
        <x:v>Dell Latitude 5430</x:v>
      </x:c>
      <x:c r="E43" s="10" t="str">
        <x:v>BT-000213</x:v>
      </x:c>
      <x:c r="F43" s="9" t="str">
        <x:v>Dell Latitude 5430 · Core i7-1265U · không cảm ứng · Intel Iris Xe Graphics</x:v>
      </x:c>
      <x:c r="G43" s="9" t="str">
        <x:v>Core i7-1265U</x:v>
      </x:c>
      <x:c r="H43" s="9" t="str">
        <x:v>Core i7-1265U</x:v>
      </x:c>
      <x:c r="I43" s="11" t="n">
        <x:v>16</x:v>
      </x:c>
      <x:c r="J43" s="11" t="n">
        <x:v>512</x:v>
      </x:c>
      <x:c r="K43" s="9" t="str">
        <x:v>Intel Iris Xe Graphics</x:v>
      </x:c>
      <x:c r="L43" s="9" t="str">
        <x:v>KHÔNG CẢM ỨNG</x:v>
      </x:c>
      <x:c r="M43" s="9" t="str">
        <x:v>Core i7-1265U / RAM 16GB / SSD 512GB / Intel Iris Xe Graphics / KHÔNG CẢM ỨNG</x:v>
      </x:c>
      <x:c r="N43" s="9" t="str">
        <x:v>SẴN SÀNG BÁN</x:v>
      </x:c>
      <x:c r="O43" s="11" t="n">
        <x:v>12900000</x:v>
      </x:c>
      <x:c r="P43" s="12" t="n">
        <x:v>46296</x:v>
      </x:c>
      <x:c r="Q43" s="12" t="n">
        <x:v>46296</x:v>
      </x:c>
      <x:c r="R43" s="11" t="n">
        <x:v>11</x:v>
      </x:c>
      <x:c r="S43" s="9" t="str">
        <x:v>MUA/NHẬP HÀNG</x:v>
      </x:c>
      <x:c r="T43" s="10" t="str">
        <x:v>DM-000022</x:v>
      </x:c>
      <x:c r="U43" s="10" t="str">
        <x:v>BZP22T3::1</x:v>
      </x:c>
      <x:c r="V43" s="9" t="str">
        <x:v>Trường số hồ sơ</x:v>
      </x:c>
      <x:c r="W43" s="9" t="str">
        <x:v>Dell Latitude 5430</x:v>
      </x:c>
      <x:c r="X43" s="9" t="str">
        <x:v>Core i7-1265U / RAM 16GB / SSD 512GB / Intel Iris Xe Graphics / KHÔNG CẢM ỨNG</x:v>
      </x:c>
      <x:c r="Y43" s="9"/>
      <x:c r="Z43" s="9" t="str">
        <x:v>SERIAL_REGISTRY!A418:AA418</x:v>
      </x:c>
      <x:c r="AA43" s="9" t="str">
        <x:v>EVT-IN-BC32A7085BA013357DDE</x:v>
      </x:c>
      <x:c r="AB43" s="9"/>
      <x:c r="AC43" s="11"/>
      <x:c r="AD43" s="9"/>
    </x:row>
    <x:row r="44" ht="42" customHeight="1">
      <x:c r="A44" s="10" t="str">
        <x:v>FVL8TQ3</x:v>
      </x:c>
      <x:c r="B44" s="9" t="str">
        <x:v>KHỚP DỮ LIỆU</x:v>
      </x:c>
      <x:c r="C44" s="9" t="str">
        <x:v>Dell</x:v>
      </x:c>
      <x:c r="D44" s="9" t="str">
        <x:v>Dell Latitude 5430</x:v>
      </x:c>
      <x:c r="E44" s="10" t="str">
        <x:v>BT-000213</x:v>
      </x:c>
      <x:c r="F44" s="9" t="str">
        <x:v>Dell Latitude 5430 · Core i7-1265U · không cảm ứng · Intel Iris Xe Graphics</x:v>
      </x:c>
      <x:c r="G44" s="9" t="str">
        <x:v>Core i7-1265U</x:v>
      </x:c>
      <x:c r="H44" s="9" t="str">
        <x:v>Core i7-1265U</x:v>
      </x:c>
      <x:c r="I44" s="11" t="n">
        <x:v>16</x:v>
      </x:c>
      <x:c r="J44" s="11" t="n">
        <x:v>512</x:v>
      </x:c>
      <x:c r="K44" s="9" t="str">
        <x:v>Intel Iris Xe Graphics</x:v>
      </x:c>
      <x:c r="L44" s="9" t="str">
        <x:v>KHÔNG CẢM ỨNG</x:v>
      </x:c>
      <x:c r="M44" s="9" t="str">
        <x:v>Core i7-1265U / RAM 16GB / SSD 512GB / Intel Iris Xe Graphics / KHÔNG CẢM ỨNG</x:v>
      </x:c>
      <x:c r="N44" s="9" t="str">
        <x:v>SẴN SÀNG BÁN</x:v>
      </x:c>
      <x:c r="O44" s="11" t="n">
        <x:v>12900000</x:v>
      </x:c>
      <x:c r="P44" s="12" t="n">
        <x:v>46296</x:v>
      </x:c>
      <x:c r="Q44" s="12" t="n">
        <x:v>46296</x:v>
      </x:c>
      <x:c r="R44" s="11" t="n">
        <x:v>11</x:v>
      </x:c>
      <x:c r="S44" s="9" t="str">
        <x:v>MUA/NHẬP HÀNG</x:v>
      </x:c>
      <x:c r="T44" s="10" t="str">
        <x:v>DM-000022</x:v>
      </x:c>
      <x:c r="U44" s="10" t="str">
        <x:v>FVL8TQ3::1</x:v>
      </x:c>
      <x:c r="V44" s="9" t="str">
        <x:v>Trường số hồ sơ</x:v>
      </x:c>
      <x:c r="W44" s="9" t="str">
        <x:v>Dell Latitude 5430</x:v>
      </x:c>
      <x:c r="X44" s="9" t="str">
        <x:v>Core i7-1265U / RAM 16GB / SSD 512GB / Intel Iris Xe Graphics / KHÔNG CẢM ỨNG</x:v>
      </x:c>
      <x:c r="Y44" s="9"/>
      <x:c r="Z44" s="9" t="str">
        <x:v>SERIAL_REGISTRY!A416:AA416</x:v>
      </x:c>
      <x:c r="AA44" s="9" t="str">
        <x:v>EVT-IN-FE4DE1D0237C9D1448DC</x:v>
      </x:c>
      <x:c r="AB44" s="9"/>
      <x:c r="AC44" s="11"/>
      <x:c r="AD44" s="9"/>
    </x:row>
    <x:row r="45" ht="42" customHeight="1">
      <x:c r="A45" s="10" t="str">
        <x:v>81YWGY3</x:v>
      </x:c>
      <x:c r="B45" s="9" t="str">
        <x:v>KHỚP DỮ LIỆU</x:v>
      </x:c>
      <x:c r="C45" s="9" t="str">
        <x:v>Dell</x:v>
      </x:c>
      <x:c r="D45" s="9" t="str">
        <x:v>Dell Latitude 5440</x:v>
      </x:c>
      <x:c r="E45" s="10" t="str">
        <x:v>BT-000065</x:v>
      </x:c>
      <x:c r="F45" s="9" t="str">
        <x:v>Dell Latitude 5440 · Core i5-1350P · không cảm ứng</x:v>
      </x:c>
      <x:c r="G45" s="9" t="str">
        <x:v>Intel Core i5-1350P</x:v>
      </x:c>
      <x:c r="H45" s="9" t="str">
        <x:v>Intel Core i5-1350P</x:v>
      </x:c>
      <x:c r="I45" s="11" t="n">
        <x:v>16</x:v>
      </x:c>
      <x:c r="J45" s="11" t="n">
        <x:v>256</x:v>
      </x:c>
      <x:c r="K45" s="9" t="str">
        <x:v>Intel UHD Graphics</x:v>
      </x:c>
      <x:c r="L45" s="9" t="str">
        <x:v>KHÔNG CẢM ỨNG</x:v>
      </x:c>
      <x:c r="M45" s="9" t="str">
        <x:v>Intel Core i5-1350P / RAM 16GB / SSD 256GB / Intel UHD Graphics / KHÔNG CẢM ỨNG</x:v>
      </x:c>
      <x:c r="N45" s="9" t="str">
        <x:v>SẴN SÀNG BÁN</x:v>
      </x:c>
      <x:c r="O45" s="11" t="n">
        <x:v>14600000</x:v>
      </x:c>
      <x:c r="P45" s="12" t="n">
        <x:v>46283</x:v>
      </x:c>
      <x:c r="Q45" s="12" t="n">
        <x:v>46283</x:v>
      </x:c>
      <x:c r="R45" s="11" t="n">
        <x:v>24</x:v>
      </x:c>
      <x:c r="S45" s="9" t="str">
        <x:v>MUA/NHẬP HÀNG</x:v>
      </x:c>
      <x:c r="T45" s="10" t="str">
        <x:v>DM-000054</x:v>
      </x:c>
      <x:c r="U45" s="10" t="str">
        <x:v>81YWGY3::1</x:v>
      </x:c>
      <x:c r="V45" s="9" t="str">
        <x:v>Trường số hồ sơ</x:v>
      </x:c>
      <x:c r="W45" s="9" t="str">
        <x:v>Dell Latitude 5440</x:v>
      </x:c>
      <x:c r="X45" s="9" t="str">
        <x:v>Intel Core i5-1350P / RAM 16GB / SSD 256GB / Intel UHD Graphics / KHÔNG CẢM ỨNG</x:v>
      </x:c>
      <x:c r="Y45" s="9"/>
      <x:c r="Z45" s="9" t="str">
        <x:v>SERIAL_REGISTRY!A355:AA355</x:v>
      </x:c>
      <x:c r="AA45" s="9" t="str">
        <x:v>EVT-PRICE-D0E645AA3826EC79B22E</x:v>
      </x:c>
      <x:c r="AB45" s="9"/>
      <x:c r="AC45" s="11"/>
      <x:c r="AD45" s="9"/>
    </x:row>
    <x:row r="46" ht="42" customHeight="1">
      <x:c r="A46" s="10" t="str">
        <x:v>97HD9W3</x:v>
      </x:c>
      <x:c r="B46" s="9" t="str">
        <x:v>KHỚP DỮ LIỆU</x:v>
      </x:c>
      <x:c r="C46" s="9" t="str">
        <x:v>Dell</x:v>
      </x:c>
      <x:c r="D46" s="9" t="str">
        <x:v>Dell Latitude 5440</x:v>
      </x:c>
      <x:c r="E46" s="10" t="str">
        <x:v>BT-000065</x:v>
      </x:c>
      <x:c r="F46" s="9" t="str">
        <x:v>Dell Latitude 5440 · Core i5-1350P · không cảm ứng</x:v>
      </x:c>
      <x:c r="G46" s="9" t="str">
        <x:v>Intel Core i5-1350P</x:v>
      </x:c>
      <x:c r="H46" s="9" t="str">
        <x:v>Intel Core i5-1350P</x:v>
      </x:c>
      <x:c r="I46" s="11" t="n">
        <x:v>16</x:v>
      </x:c>
      <x:c r="J46" s="11" t="n">
        <x:v>256</x:v>
      </x:c>
      <x:c r="K46" s="9" t="str">
        <x:v>Intel UHD Graphics</x:v>
      </x:c>
      <x:c r="L46" s="9" t="str">
        <x:v>KHÔNG CẢM ỨNG</x:v>
      </x:c>
      <x:c r="M46" s="9" t="str">
        <x:v>Intel Core i5-1350P / RAM 16GB / SSD 256GB / Intel UHD Graphics / KHÔNG CẢM ỨNG</x:v>
      </x:c>
      <x:c r="N46" s="9" t="str">
        <x:v>SẴN SÀNG BÁN</x:v>
      </x:c>
      <x:c r="O46" s="11" t="n">
        <x:v>14600000</x:v>
      </x:c>
      <x:c r="P46" s="12" t="n">
        <x:v>46283</x:v>
      </x:c>
      <x:c r="Q46" s="12" t="n">
        <x:v>46283</x:v>
      </x:c>
      <x:c r="R46" s="11" t="n">
        <x:v>24</x:v>
      </x:c>
      <x:c r="S46" s="9" t="str">
        <x:v>MUA/NHẬP HÀNG</x:v>
      </x:c>
      <x:c r="T46" s="10" t="str">
        <x:v>DM-000054</x:v>
      </x:c>
      <x:c r="U46" s="10" t="str">
        <x:v>97HD9W3::1</x:v>
      </x:c>
      <x:c r="V46" s="9" t="str">
        <x:v>Trường số hồ sơ</x:v>
      </x:c>
      <x:c r="W46" s="9" t="str">
        <x:v>Dell Latitude 5440</x:v>
      </x:c>
      <x:c r="X46" s="9" t="str">
        <x:v>Intel Core i5-1350P / RAM 16GB / SSD 256GB / Intel UHD Graphics / KHÔNG CẢM ỨNG</x:v>
      </x:c>
      <x:c r="Y46" s="9"/>
      <x:c r="Z46" s="9" t="str">
        <x:v>SERIAL_REGISTRY!A357:AA357</x:v>
      </x:c>
      <x:c r="AA46" s="9" t="str">
        <x:v>EVT-PRICE-D0E645AA3826EC79B22E</x:v>
      </x:c>
      <x:c r="AB46" s="9"/>
      <x:c r="AC46" s="11"/>
      <x:c r="AD46" s="9"/>
    </x:row>
    <x:row r="47" ht="42" customHeight="1">
      <x:c r="A47" s="10" t="str">
        <x:v>9NBJSV3</x:v>
      </x:c>
      <x:c r="B47" s="9" t="str">
        <x:v>KHỚP DỮ LIỆU</x:v>
      </x:c>
      <x:c r="C47" s="9" t="str">
        <x:v>Dell</x:v>
      </x:c>
      <x:c r="D47" s="9" t="str">
        <x:v>Dell Latitude 5440</x:v>
      </x:c>
      <x:c r="E47" s="10" t="str">
        <x:v>BT-000065</x:v>
      </x:c>
      <x:c r="F47" s="9" t="str">
        <x:v>Dell Latitude 5440 · Core i5-1350P · không cảm ứng</x:v>
      </x:c>
      <x:c r="G47" s="9" t="str">
        <x:v>Intel Core i5-1350P</x:v>
      </x:c>
      <x:c r="H47" s="9" t="str">
        <x:v>Intel Core i5-1350P</x:v>
      </x:c>
      <x:c r="I47" s="11" t="n">
        <x:v>16</x:v>
      </x:c>
      <x:c r="J47" s="11" t="n">
        <x:v>256</x:v>
      </x:c>
      <x:c r="K47" s="9" t="str">
        <x:v>Intel UHD Graphics</x:v>
      </x:c>
      <x:c r="L47" s="9" t="str">
        <x:v>KHÔNG CẢM ỨNG</x:v>
      </x:c>
      <x:c r="M47" s="9" t="str">
        <x:v>Intel Core i5-1350P / RAM 16GB / SSD 256GB / Intel UHD Graphics / KHÔNG CẢM ỨNG</x:v>
      </x:c>
      <x:c r="N47" s="9" t="str">
        <x:v>SẴN SÀNG BÁN</x:v>
      </x:c>
      <x:c r="O47" s="11" t="n">
        <x:v>14600000</x:v>
      </x:c>
      <x:c r="P47" s="12" t="n">
        <x:v>46283</x:v>
      </x:c>
      <x:c r="Q47" s="12" t="n">
        <x:v>46283</x:v>
      </x:c>
      <x:c r="R47" s="11" t="n">
        <x:v>24</x:v>
      </x:c>
      <x:c r="S47" s="9" t="str">
        <x:v>MUA/NHẬP HÀNG</x:v>
      </x:c>
      <x:c r="T47" s="10" t="str">
        <x:v>DM-000054</x:v>
      </x:c>
      <x:c r="U47" s="10" t="str">
        <x:v>9NBJSV3::1</x:v>
      </x:c>
      <x:c r="V47" s="9" t="str">
        <x:v>Trường số hồ sơ</x:v>
      </x:c>
      <x:c r="W47" s="9" t="str">
        <x:v>Dell Latitude 5440</x:v>
      </x:c>
      <x:c r="X47" s="9" t="str">
        <x:v>Intel Core i5-1350P / RAM 16GB / SSD 256GB / Intel UHD Graphics / KHÔNG CẢM ỨNG</x:v>
      </x:c>
      <x:c r="Y47" s="9"/>
      <x:c r="Z47" s="9" t="str">
        <x:v>SERIAL_REGISTRY!A356:AA356</x:v>
      </x:c>
      <x:c r="AA47" s="9" t="str">
        <x:v>EVT-PRICE-D0E645AA3826EC79B22E</x:v>
      </x:c>
      <x:c r="AB47" s="9"/>
      <x:c r="AC47" s="11"/>
      <x:c r="AD47" s="9"/>
    </x:row>
    <x:row r="48" ht="42" customHeight="1">
      <x:c r="A48" s="10" t="str">
        <x:v>9NXGBY3</x:v>
      </x:c>
      <x:c r="B48" s="9" t="str">
        <x:v>KHỚP DỮ LIỆU</x:v>
      </x:c>
      <x:c r="C48" s="9" t="str">
        <x:v>Dell</x:v>
      </x:c>
      <x:c r="D48" s="9" t="str">
        <x:v>Dell Latitude 5440</x:v>
      </x:c>
      <x:c r="E48" s="10" t="str">
        <x:v>BT-000065</x:v>
      </x:c>
      <x:c r="F48" s="9" t="str">
        <x:v>Dell Latitude 5440 · Core i5-1350P · không cảm ứng</x:v>
      </x:c>
      <x:c r="G48" s="9" t="str">
        <x:v>Intel Core i5-1350P</x:v>
      </x:c>
      <x:c r="H48" s="9" t="str">
        <x:v>Intel Core i5-1350P</x:v>
      </x:c>
      <x:c r="I48" s="11" t="n">
        <x:v>16</x:v>
      </x:c>
      <x:c r="J48" s="11" t="n">
        <x:v>256</x:v>
      </x:c>
      <x:c r="K48" s="9" t="str">
        <x:v>Intel UHD Graphics</x:v>
      </x:c>
      <x:c r="L48" s="9" t="str">
        <x:v>KHÔNG CẢM ỨNG</x:v>
      </x:c>
      <x:c r="M48" s="9" t="str">
        <x:v>Intel Core i5-1350P / RAM 16GB / SSD 256GB / Intel UHD Graphics / KHÔNG CẢM ỨNG</x:v>
      </x:c>
      <x:c r="N48" s="9" t="str">
        <x:v>SẴN SÀNG BÁN</x:v>
      </x:c>
      <x:c r="O48" s="11" t="n">
        <x:v>14600000</x:v>
      </x:c>
      <x:c r="P48" s="12" t="n">
        <x:v>46283</x:v>
      </x:c>
      <x:c r="Q48" s="12" t="n">
        <x:v>46283</x:v>
      </x:c>
      <x:c r="R48" s="11" t="n">
        <x:v>24</x:v>
      </x:c>
      <x:c r="S48" s="9" t="str">
        <x:v>MUA/NHẬP HÀNG</x:v>
      </x:c>
      <x:c r="T48" s="10" t="str">
        <x:v>DM-000054</x:v>
      </x:c>
      <x:c r="U48" s="10" t="str">
        <x:v>9NXGBY3::1</x:v>
      </x:c>
      <x:c r="V48" s="9" t="str">
        <x:v>Trường số hồ sơ</x:v>
      </x:c>
      <x:c r="W48" s="9" t="str">
        <x:v>Dell Latitude 5440</x:v>
      </x:c>
      <x:c r="X48" s="9" t="str">
        <x:v>Intel Core i5-1350P / RAM 16GB / SSD 256GB / Intel UHD Graphics / KHÔNG CẢM ỨNG</x:v>
      </x:c>
      <x:c r="Y48" s="9"/>
      <x:c r="Z48" s="9" t="str">
        <x:v>SERIAL_REGISTRY!A358:AA358</x:v>
      </x:c>
      <x:c r="AA48" s="9" t="str">
        <x:v>EVT-PRICE-D0E645AA3826EC79B22E</x:v>
      </x:c>
      <x:c r="AB48" s="9"/>
      <x:c r="AC48" s="11"/>
      <x:c r="AD48" s="9"/>
    </x:row>
    <x:row r="49" ht="42" customHeight="1">
      <x:c r="A49" s="10" t="str">
        <x:v>DLHXGY3</x:v>
      </x:c>
      <x:c r="B49" s="9" t="str">
        <x:v>KHỚP DỮ LIỆU</x:v>
      </x:c>
      <x:c r="C49" s="9" t="str">
        <x:v>Dell</x:v>
      </x:c>
      <x:c r="D49" s="9" t="str">
        <x:v>Dell Latitude 5440</x:v>
      </x:c>
      <x:c r="E49" s="10" t="str">
        <x:v>BT-000065</x:v>
      </x:c>
      <x:c r="F49" s="9" t="str">
        <x:v>Dell Latitude 5440 · Core i5-1350P · không cảm ứng</x:v>
      </x:c>
      <x:c r="G49" s="9" t="str">
        <x:v>Intel Core i5-1350P</x:v>
      </x:c>
      <x:c r="H49" s="9" t="str">
        <x:v>Intel Core i5-1350P</x:v>
      </x:c>
      <x:c r="I49" s="11" t="n">
        <x:v>16</x:v>
      </x:c>
      <x:c r="J49" s="11" t="n">
        <x:v>256</x:v>
      </x:c>
      <x:c r="K49" s="9" t="str">
        <x:v>Intel UHD Graphics</x:v>
      </x:c>
      <x:c r="L49" s="9" t="str">
        <x:v>KHÔNG CẢM ỨNG</x:v>
      </x:c>
      <x:c r="M49" s="9" t="str">
        <x:v>Intel Core i5-1350P / RAM 16GB / SSD 256GB / Intel UHD Graphics / KHÔNG CẢM ỨNG</x:v>
      </x:c>
      <x:c r="N49" s="9" t="str">
        <x:v>SẴN SÀNG BÁN</x:v>
      </x:c>
      <x:c r="O49" s="11" t="n">
        <x:v>14600000</x:v>
      </x:c>
      <x:c r="P49" s="12" t="n">
        <x:v>46283</x:v>
      </x:c>
      <x:c r="Q49" s="12" t="n">
        <x:v>46283</x:v>
      </x:c>
      <x:c r="R49" s="11" t="n">
        <x:v>24</x:v>
      </x:c>
      <x:c r="S49" s="9" t="str">
        <x:v>MUA/NHẬP HÀNG</x:v>
      </x:c>
      <x:c r="T49" s="10" t="str">
        <x:v>DM-000054</x:v>
      </x:c>
      <x:c r="U49" s="10" t="str">
        <x:v>DLHXGY3::1</x:v>
      </x:c>
      <x:c r="V49" s="9" t="str">
        <x:v>Trường số hồ sơ</x:v>
      </x:c>
      <x:c r="W49" s="9" t="str">
        <x:v>Dell Latitude 5440</x:v>
      </x:c>
      <x:c r="X49" s="9" t="str">
        <x:v>Intel Core i5-1350P / RAM 16GB / SSD 256GB / Intel UHD Graphics / KHÔNG CẢM ỨNG</x:v>
      </x:c>
      <x:c r="Y49" s="9"/>
      <x:c r="Z49" s="9" t="str">
        <x:v>SERIAL_REGISTRY!A359:AA359</x:v>
      </x:c>
      <x:c r="AA49" s="9" t="str">
        <x:v>EVT-PRICE-D0E645AA3826EC79B22E</x:v>
      </x:c>
      <x:c r="AB49" s="9"/>
      <x:c r="AC49" s="11"/>
      <x:c r="AD49" s="9"/>
    </x:row>
    <x:row r="50" ht="42" customHeight="1">
      <x:c r="A50" s="10" t="str">
        <x:v>9TYGXD3</x:v>
      </x:c>
      <x:c r="B50" s="9" t="str">
        <x:v>THIẾU THÔNG SỐ</x:v>
      </x:c>
      <x:c r="C50" s="9" t="str">
        <x:v>Dell</x:v>
      </x:c>
      <x:c r="D50" s="9" t="str">
        <x:v>Dell Latitude 7320</x:v>
      </x:c>
      <x:c r="E50" s="10" t="str">
        <x:v>BT-000121</x:v>
      </x:c>
      <x:c r="F50" s="9" t="str">
        <x:v>Dell Latitude 7320 · Core i5 - 1135G7 · KHÔNG CẢM ỨNG · LAPTOP THƯỜNG</x:v>
      </x:c>
      <x:c r="G50" s="9" t="str">
        <x:v>Core i5 - 1135G7</x:v>
      </x:c>
      <x:c r="H50" s="9" t="str">
        <x:v>Core i5 - 1135G7</x:v>
      </x:c>
      <x:c r="I50" s="11"/>
      <x:c r="J50" s="11"/>
      <x:c r="K50" s="9"/>
      <x:c r="L50" s="9" t="str">
        <x:v>KHÔNG CẢM ỨNG</x:v>
      </x:c>
      <x:c r="M50" s="9" t="str">
        <x:v>Core i5 - 1135G7 · KHÔNG CẢM ỨNG · LAPTOP THƯỜNG · 13.3"</x:v>
      </x:c>
      <x:c r="N50" s="9" t="str">
        <x:v>SẴN SÀNG BÁN</x:v>
      </x:c>
      <x:c r="O50" s="11" t="n">
        <x:v>8900000</x:v>
      </x:c>
      <x:c r="P50" s="12" t="n">
        <x:v>46258</x:v>
      </x:c>
      <x:c r="Q50" s="12" t="n">
        <x:v>46269</x:v>
      </x:c>
      <x:c r="R50" s="11" t="n">
        <x:v>38</x:v>
      </x:c>
      <x:c r="S50" s="9" t="str">
        <x:v>MUA/NHẬP HÀNG</x:v>
      </x:c>
      <x:c r="T50" s="10" t="str">
        <x:v>DM-000091</x:v>
      </x:c>
      <x:c r="U50" s="10" t="str">
        <x:v>9TYGXD3::1</x:v>
      </x:c>
      <x:c r="V50" s="9" t="str">
        <x:v>Thiếu</x:v>
      </x:c>
      <x:c r="W50" s="9" t="str">
        <x:v>Dell Latitude 7320</x:v>
      </x:c>
      <x:c r="X50" s="9" t="str">
        <x:v>Core i5-1135G7 / Ram 16GB / SSD 256GB / 13.3" FHD</x:v>
      </x:c>
      <x:c r="Y50" s="9" t="str">
        <x:v>Chưa có RAM theo serial; Chưa có SSD theo serial; Chưa có GPU theo serial</x:v>
      </x:c>
      <x:c r="Z50" s="9" t="str">
        <x:v>SERIAL_REGISTRY!A214:AA214</x:v>
      </x:c>
      <x:c r="AA50" s="9" t="str">
        <x:v>EVT-PRICE-96BCC082183C9905F8E6</x:v>
      </x:c>
      <x:c r="AB50" s="9"/>
      <x:c r="AC50" s="11"/>
      <x:c r="AD50" s="9"/>
    </x:row>
    <x:row r="51" ht="42" customHeight="1">
      <x:c r="A51" s="10" t="str">
        <x:v>6CQYXD3</x:v>
      </x:c>
      <x:c r="B51" s="9" t="str">
        <x:v>CẦN XÁC NHẬN</x:v>
      </x:c>
      <x:c r="C51" s="9" t="str">
        <x:v>Dell</x:v>
      </x:c>
      <x:c r="D51" s="9" t="str">
        <x:v>Dell Latitude 7320</x:v>
      </x:c>
      <x:c r="E51" s="10" t="str">
        <x:v>BT-000152</x:v>
      </x:c>
      <x:c r="F51" s="9" t="str">
        <x:v>Dell Latitude 7320 · Core i5-1145G7 · KHÔNG CẢM ỨNG · LAPTOP THƯỜNG</x:v>
      </x:c>
      <x:c r="G51" s="9" t="str">
        <x:v>Core i5-1145G7</x:v>
      </x:c>
      <x:c r="H51" s="9" t="str">
        <x:v>Core i5-1135G7</x:v>
      </x:c>
      <x:c r="I51" s="11" t="n">
        <x:v>16</x:v>
      </x:c>
      <x:c r="J51" s="11" t="n">
        <x:v>256</x:v>
      </x:c>
      <x:c r="K51" s="9"/>
      <x:c r="L51" s="9" t="str">
        <x:v>KHÔNG CẢM ỨNG</x:v>
      </x:c>
      <x:c r="M51" s="9" t="str">
        <x:v>Core i5-1135G7 / Ram 16GB / SSD 256GB / 13.3 inch FHD</x:v>
      </x:c>
      <x:c r="N51" s="9" t="str">
        <x:v>SẴN SÀNG BÁN</x:v>
      </x:c>
      <x:c r="O51" s="11" t="n">
        <x:v>8900000</x:v>
      </x:c>
      <x:c r="P51" s="12" t="n">
        <x:v>46269</x:v>
      </x:c>
      <x:c r="Q51" s="12" t="n">
        <x:v>46269</x:v>
      </x:c>
      <x:c r="R51" s="11" t="n">
        <x:v>38</x:v>
      </x:c>
      <x:c r="S51" s="9" t="str">
        <x:v>MUA/NHẬP HÀNG</x:v>
      </x:c>
      <x:c r="T51" s="10" t="str">
        <x:v>DM-000091</x:v>
      </x:c>
      <x:c r="U51" s="10" t="str">
        <x:v>6CQYXD3::1</x:v>
      </x:c>
      <x:c r="V51" s="9" t="str">
        <x:v>Tách từ cấu hình theo serial</x:v>
      </x:c>
      <x:c r="W51" s="9" t="str">
        <x:v>Dell Latitude 7320</x:v>
      </x:c>
      <x:c r="X51" s="9" t="str">
        <x:v>Core i5-1135G7 / Ram 16GB / SSD 256GB / 13.3 inch FHD</x:v>
      </x:c>
      <x:c r="Y51" s="9" t="str">
        <x:v>CPU hồ sơ khác chuỗi cấu hình theo serial; Chưa có GPU theo serial</x:v>
      </x:c>
      <x:c r="Z51" s="9" t="str">
        <x:v>SERIAL_REGISTRY!A262:AA262</x:v>
      </x:c>
      <x:c r="AA51" s="9" t="str">
        <x:v>EVT-PRICE-1B31CF1D836CD25A0A80</x:v>
      </x:c>
      <x:c r="AB51" s="9"/>
      <x:c r="AC51" s="11"/>
      <x:c r="AD51" s="9"/>
    </x:row>
    <x:row r="52" ht="42" customHeight="1">
      <x:c r="A52" s="10" t="str">
        <x:v>HZFGXD3</x:v>
      </x:c>
      <x:c r="B52" s="9" t="str">
        <x:v>THIẾU THÔNG SỐ</x:v>
      </x:c>
      <x:c r="C52" s="9" t="str">
        <x:v>Dell</x:v>
      </x:c>
      <x:c r="D52" s="9" t="str">
        <x:v>Dell Latitude 7320</x:v>
      </x:c>
      <x:c r="E52" s="10" t="str">
        <x:v>BT-000152</x:v>
      </x:c>
      <x:c r="F52" s="9" t="str">
        <x:v>Dell Latitude 7320 · Core i5-1145G7 · KHÔNG CẢM ỨNG · LAPTOP THƯỜNG</x:v>
      </x:c>
      <x:c r="G52" s="9" t="str">
        <x:v>Core i5-1145G7</x:v>
      </x:c>
      <x:c r="H52" s="9" t="str">
        <x:v>Core i5-1145G7</x:v>
      </x:c>
      <x:c r="I52" s="11" t="n">
        <x:v>16</x:v>
      </x:c>
      <x:c r="J52" s="11" t="n">
        <x:v>256</x:v>
      </x:c>
      <x:c r="K52" s="9"/>
      <x:c r="L52" s="9" t="str">
        <x:v>KHÔNG CẢM ỨNG</x:v>
      </x:c>
      <x:c r="M52" s="9" t="str">
        <x:v>Core i5-1145G7 / Ram 16GB / SSD 256GB / 13.3 inch FHD</x:v>
      </x:c>
      <x:c r="N52" s="9" t="str">
        <x:v>SẴN SÀNG BÁN</x:v>
      </x:c>
      <x:c r="O52" s="11" t="n">
        <x:v>8900000</x:v>
      </x:c>
      <x:c r="P52" s="12" t="n">
        <x:v>46269</x:v>
      </x:c>
      <x:c r="Q52" s="12" t="n">
        <x:v>46269</x:v>
      </x:c>
      <x:c r="R52" s="11" t="n">
        <x:v>38</x:v>
      </x:c>
      <x:c r="S52" s="9" t="str">
        <x:v>MUA/NHẬP HÀNG</x:v>
      </x:c>
      <x:c r="T52" s="10" t="str">
        <x:v>DM-000091</x:v>
      </x:c>
      <x:c r="U52" s="10" t="str">
        <x:v>HZFGXD3::1</x:v>
      </x:c>
      <x:c r="V52" s="9" t="str">
        <x:v>Tách từ cấu hình theo serial</x:v>
      </x:c>
      <x:c r="W52" s="9" t="str">
        <x:v>Dell Latitude 7320</x:v>
      </x:c>
      <x:c r="X52" s="9" t="str">
        <x:v>Core i5-1145G7 / Ram 16GB / SSD 256GB / 13.3 inch FHD</x:v>
      </x:c>
      <x:c r="Y52" s="9" t="str">
        <x:v>Chưa có GPU theo serial</x:v>
      </x:c>
      <x:c r="Z52" s="9" t="str">
        <x:v>SERIAL_REGISTRY!A254:AA254</x:v>
      </x:c>
      <x:c r="AA52" s="9" t="str">
        <x:v>EVT-PRICE-1B31CF1D836CD25A0A80</x:v>
      </x:c>
      <x:c r="AB52" s="9"/>
      <x:c r="AC52" s="11"/>
      <x:c r="AD52" s="9"/>
    </x:row>
    <x:row r="53" ht="42" customHeight="1">
      <x:c r="A53" s="10" t="str">
        <x:v>3D58LR3</x:v>
      </x:c>
      <x:c r="B53" s="9" t="str">
        <x:v>THIẾU THÔNG SỐ</x:v>
      </x:c>
      <x:c r="C53" s="9" t="str">
        <x:v>Dell</x:v>
      </x:c>
      <x:c r="D53" s="9" t="str">
        <x:v>Dell Latitude 7330</x:v>
      </x:c>
      <x:c r="E53" s="10" t="str">
        <x:v>BT-000105</x:v>
      </x:c>
      <x:c r="F53" s="9" t="str">
        <x:v>Dell Latitude 7330 · Core i5-1245U · CÓ CẢM ỨNG · LAPTOP THƯỜNG</x:v>
      </x:c>
      <x:c r="G53" s="9" t="str">
        <x:v>Core i5-1245U</x:v>
      </x:c>
      <x:c r="H53" s="9" t="str">
        <x:v>Core i5-1245U</x:v>
      </x:c>
      <x:c r="I53" s="11" t="n">
        <x:v>16</x:v>
      </x:c>
      <x:c r="J53" s="11" t="n">
        <x:v>256</x:v>
      </x:c>
      <x:c r="K53" s="9"/>
      <x:c r="L53" s="9" t="str">
        <x:v>CÓ CẢM ỨNG</x:v>
      </x:c>
      <x:c r="M53" s="9" t="str">
        <x:v>Core i5-1245U / Ram 16GB / SSD 256GB / 13.3" FHD Cảm ứng</x:v>
      </x:c>
      <x:c r="N53" s="9" t="str">
        <x:v>SẴN SÀNG BÁN</x:v>
      </x:c>
      <x:c r="O53" s="11" t="n">
        <x:v>12900000</x:v>
      </x:c>
      <x:c r="P53" s="12" t="n">
        <x:v>46251</x:v>
      </x:c>
      <x:c r="Q53" s="12" t="n">
        <x:v>46251</x:v>
      </x:c>
      <x:c r="R53" s="11" t="n">
        <x:v>56</x:v>
      </x:c>
      <x:c r="S53" s="9" t="str">
        <x:v>MUA/NHẬP HÀNG</x:v>
      </x:c>
      <x:c r="T53" s="10" t="str">
        <x:v>DM-000080</x:v>
      </x:c>
      <x:c r="U53" s="10" t="str">
        <x:v>3D58LR3::1</x:v>
      </x:c>
      <x:c r="V53" s="9" t="str">
        <x:v>Tách từ cấu hình theo serial</x:v>
      </x:c>
      <x:c r="W53" s="9" t="str">
        <x:v>Dell Latitude 7330</x:v>
      </x:c>
      <x:c r="X53" s="9" t="str">
        <x:v>Core i5-1245U / Ram 16GB / SSD 256GB / 13.3" FHD Cảm ứng</x:v>
      </x:c>
      <x:c r="Y53" s="9" t="str">
        <x:v>Chưa có GPU theo serial</x:v>
      </x:c>
      <x:c r="Z53" s="9" t="str">
        <x:v>SERIAL_REGISTRY!A193:AA193</x:v>
      </x:c>
      <x:c r="AA53" s="9" t="str">
        <x:v>EVT-IN-41C036ACCB4DD982388F</x:v>
      </x:c>
      <x:c r="AB53" s="9"/>
      <x:c r="AC53" s="11"/>
      <x:c r="AD53" s="9"/>
    </x:row>
    <x:row r="54" ht="42" customHeight="1">
      <x:c r="A54" s="10" t="str">
        <x:v>3L892T3</x:v>
      </x:c>
      <x:c r="B54" s="9" t="str">
        <x:v>THIẾU THÔNG SỐ</x:v>
      </x:c>
      <x:c r="C54" s="9" t="str">
        <x:v>Dell</x:v>
      </x:c>
      <x:c r="D54" s="9" t="str">
        <x:v>Dell Latitude 7330</x:v>
      </x:c>
      <x:c r="E54" s="10" t="str">
        <x:v>BT-000105</x:v>
      </x:c>
      <x:c r="F54" s="9" t="str">
        <x:v>Dell Latitude 7330 · Core i5-1245U · CÓ CẢM ỨNG · LAPTOP THƯỜNG</x:v>
      </x:c>
      <x:c r="G54" s="9" t="str">
        <x:v>Core i5-1245U</x:v>
      </x:c>
      <x:c r="H54" s="9" t="str">
        <x:v>Core i5-1245U</x:v>
      </x:c>
      <x:c r="I54" s="11" t="n">
        <x:v>16</x:v>
      </x:c>
      <x:c r="J54" s="11" t="n">
        <x:v>256</x:v>
      </x:c>
      <x:c r="K54" s="9"/>
      <x:c r="L54" s="9" t="str">
        <x:v>CÓ CẢM ỨNG</x:v>
      </x:c>
      <x:c r="M54" s="9" t="str">
        <x:v>Core i5-1245U / Ram 16GB / SSD 256GB / 13.3" FHD Cảm ứng</x:v>
      </x:c>
      <x:c r="N54" s="9" t="str">
        <x:v>SẴN SÀNG BÁN</x:v>
      </x:c>
      <x:c r="O54" s="11" t="n">
        <x:v>12900000</x:v>
      </x:c>
      <x:c r="P54" s="12" t="n">
        <x:v>46251</x:v>
      </x:c>
      <x:c r="Q54" s="12" t="n">
        <x:v>46251</x:v>
      </x:c>
      <x:c r="R54" s="11" t="n">
        <x:v>56</x:v>
      </x:c>
      <x:c r="S54" s="9" t="str">
        <x:v>MUA/NHẬP HÀNG</x:v>
      </x:c>
      <x:c r="T54" s="10" t="str">
        <x:v>DM-000080</x:v>
      </x:c>
      <x:c r="U54" s="10" t="str">
        <x:v>3L892T3::1</x:v>
      </x:c>
      <x:c r="V54" s="9" t="str">
        <x:v>Tách từ cấu hình theo serial</x:v>
      </x:c>
      <x:c r="W54" s="9" t="str">
        <x:v>Dell Latitude 7330</x:v>
      </x:c>
      <x:c r="X54" s="9" t="str">
        <x:v>Core i5-1245U / Ram 16GB / SSD 256GB / 13.3" FHD Cảm ứng</x:v>
      </x:c>
      <x:c r="Y54" s="9" t="str">
        <x:v>Chưa có GPU theo serial</x:v>
      </x:c>
      <x:c r="Z54" s="9" t="str">
        <x:v>SERIAL_REGISTRY!A194:AA194</x:v>
      </x:c>
      <x:c r="AA54" s="9" t="str">
        <x:v>EVT-IN-A2BA8D4E312508C5C088</x:v>
      </x:c>
      <x:c r="AB54" s="9"/>
      <x:c r="AC54" s="11"/>
      <x:c r="AD54" s="9"/>
    </x:row>
    <x:row r="55" ht="42" customHeight="1">
      <x:c r="A55" s="10" t="str">
        <x:v>5PQ6LR3</x:v>
      </x:c>
      <x:c r="B55" s="9" t="str">
        <x:v>THIẾU THÔNG SỐ</x:v>
      </x:c>
      <x:c r="C55" s="9" t="str">
        <x:v>Dell</x:v>
      </x:c>
      <x:c r="D55" s="9" t="str">
        <x:v>Dell Latitude 7330</x:v>
      </x:c>
      <x:c r="E55" s="10" t="str">
        <x:v>BT-000105</x:v>
      </x:c>
      <x:c r="F55" s="9" t="str">
        <x:v>Dell Latitude 7330 · Core i5-1245U · CÓ CẢM ỨNG · LAPTOP THƯỜNG</x:v>
      </x:c>
      <x:c r="G55" s="9" t="str">
        <x:v>Core i5-1245U</x:v>
      </x:c>
      <x:c r="H55" s="9" t="str">
        <x:v>Core i5-1245U</x:v>
      </x:c>
      <x:c r="I55" s="11" t="n">
        <x:v>16</x:v>
      </x:c>
      <x:c r="J55" s="11" t="n">
        <x:v>256</x:v>
      </x:c>
      <x:c r="K55" s="9"/>
      <x:c r="L55" s="9" t="str">
        <x:v>CÓ CẢM ỨNG</x:v>
      </x:c>
      <x:c r="M55" s="9" t="str">
        <x:v>Core i5-1245U / Ram 16GB / SSD 256GB / 13.3" FHD Cảm ứng</x:v>
      </x:c>
      <x:c r="N55" s="9" t="str">
        <x:v>SẴN SÀNG BÁN</x:v>
      </x:c>
      <x:c r="O55" s="11" t="n">
        <x:v>12900000</x:v>
      </x:c>
      <x:c r="P55" s="12" t="n">
        <x:v>46251</x:v>
      </x:c>
      <x:c r="Q55" s="12" t="n">
        <x:v>46251</x:v>
      </x:c>
      <x:c r="R55" s="11" t="n">
        <x:v>56</x:v>
      </x:c>
      <x:c r="S55" s="9" t="str">
        <x:v>MUA/NHẬP HÀNG</x:v>
      </x:c>
      <x:c r="T55" s="10" t="str">
        <x:v>DM-000080</x:v>
      </x:c>
      <x:c r="U55" s="10" t="str">
        <x:v>5PQ6LR3::1</x:v>
      </x:c>
      <x:c r="V55" s="9" t="str">
        <x:v>Tách từ cấu hình theo serial</x:v>
      </x:c>
      <x:c r="W55" s="9" t="str">
        <x:v>Dell Latitude 7330</x:v>
      </x:c>
      <x:c r="X55" s="9" t="str">
        <x:v>Core i5-1245U / Ram 16GB / SSD 256GB / 13.3" FHD Cảm ứng</x:v>
      </x:c>
      <x:c r="Y55" s="9" t="str">
        <x:v>Chưa có GPU theo serial</x:v>
      </x:c>
      <x:c r="Z55" s="9" t="str">
        <x:v>SERIAL_REGISTRY!A195:AA195</x:v>
      </x:c>
      <x:c r="AA55" s="9" t="str">
        <x:v>EVT-IN-16732F1FD93483AF382D</x:v>
      </x:c>
      <x:c r="AB55" s="9"/>
      <x:c r="AC55" s="11"/>
      <x:c r="AD55" s="9"/>
    </x:row>
    <x:row r="56" ht="42" customHeight="1">
      <x:c r="A56" s="10" t="str">
        <x:v>1NYD0Z2</x:v>
      </x:c>
      <x:c r="B56" s="9" t="str">
        <x:v>KHỚP DỮ LIỆU</x:v>
      </x:c>
      <x:c r="C56" s="9" t="str">
        <x:v>Dell</x:v>
      </x:c>
      <x:c r="D56" s="9" t="str">
        <x:v>Dell Latitude 7400</x:v>
      </x:c>
      <x:c r="E56" s="10" t="str">
        <x:v>BT-000182</x:v>
      </x:c>
      <x:c r="F56" s="9" t="str">
        <x:v>Dell Latitude 7400 · Intel Core i7-8665U · không cảm ứng · Intel UHD Graphics 620</x:v>
      </x:c>
      <x:c r="G56" s="9" t="str">
        <x:v>Intel Core i7-8665U</x:v>
      </x:c>
      <x:c r="H56" s="9" t="str">
        <x:v>Intel Core i7-8665U</x:v>
      </x:c>
      <x:c r="I56" s="11" t="n">
        <x:v>8</x:v>
      </x:c>
      <x:c r="J56" s="11" t="n">
        <x:v>256</x:v>
      </x:c>
      <x:c r="K56" s="9" t="str">
        <x:v>Intel UHD Graphics 620</x:v>
      </x:c>
      <x:c r="L56" s="9" t="str">
        <x:v>KHÔNG CẢM ỨNG</x:v>
      </x:c>
      <x:c r="M56" s="9" t="str">
        <x:v>Intel Core i7-8665U / RAM 8GB / SSD 256GB / Intel UHD Graphics 620 / KHÔNG CẢM ỨNG</x:v>
      </x:c>
      <x:c r="N56" s="9" t="str">
        <x:v>SẴN SÀNG BÁN</x:v>
      </x:c>
      <x:c r="O56" s="11" t="n">
        <x:v>7500000</x:v>
      </x:c>
      <x:c r="P56" s="12" t="n">
        <x:v>46277</x:v>
      </x:c>
      <x:c r="Q56" s="12" t="n">
        <x:v>46277</x:v>
      </x:c>
      <x:c r="R56" s="11" t="n">
        <x:v>30</x:v>
      </x:c>
      <x:c r="S56" s="9" t="str">
        <x:v>MUA/NHẬP HÀNG</x:v>
      </x:c>
      <x:c r="T56" s="10" t="str">
        <x:v>DM-000025</x:v>
      </x:c>
      <x:c r="U56" s="10" t="str">
        <x:v>1NYD0Z2::1</x:v>
      </x:c>
      <x:c r="V56" s="9" t="str">
        <x:v>Trường số hồ sơ</x:v>
      </x:c>
      <x:c r="W56" s="9" t="str">
        <x:v>Dell Latitude 7400</x:v>
      </x:c>
      <x:c r="X56" s="9" t="str">
        <x:v>Intel Core i7-8665U / RAM 8GB / SSD 256GB / Intel UHD Graphics 620 / KHÔNG CẢM ỨNG</x:v>
      </x:c>
      <x:c r="Y56" s="9"/>
      <x:c r="Z56" s="9" t="str">
        <x:v>SERIAL_REGISTRY!A312:AA312</x:v>
      </x:c>
      <x:c r="AA56" s="9" t="str">
        <x:v>EVT-PRICE-A87190334A63395306ED</x:v>
      </x:c>
      <x:c r="AB56" s="9"/>
      <x:c r="AC56" s="11"/>
      <x:c r="AD56" s="9"/>
    </x:row>
    <x:row r="57" ht="42" customHeight="1">
      <x:c r="A57" s="10" t="str">
        <x:v>6L8BL13</x:v>
      </x:c>
      <x:c r="B57" s="9" t="str">
        <x:v>KHỚP DỮ LIỆU</x:v>
      </x:c>
      <x:c r="C57" s="9" t="str">
        <x:v>Dell</x:v>
      </x:c>
      <x:c r="D57" s="9" t="str">
        <x:v>Dell Latitude 7400</x:v>
      </x:c>
      <x:c r="E57" s="10" t="str">
        <x:v>BT-000182</x:v>
      </x:c>
      <x:c r="F57" s="9" t="str">
        <x:v>Dell Latitude 7400 · Intel Core i7-8665U · không cảm ứng · Intel UHD Graphics 620</x:v>
      </x:c>
      <x:c r="G57" s="9" t="str">
        <x:v>Intel Core i7-8665U</x:v>
      </x:c>
      <x:c r="H57" s="9" t="str">
        <x:v>Intel Core i7-8665U</x:v>
      </x:c>
      <x:c r="I57" s="11" t="n">
        <x:v>8</x:v>
      </x:c>
      <x:c r="J57" s="11" t="n">
        <x:v>256</x:v>
      </x:c>
      <x:c r="K57" s="9" t="str">
        <x:v>Intel UHD Graphics 620</x:v>
      </x:c>
      <x:c r="L57" s="9" t="str">
        <x:v>KHÔNG CẢM ỨNG</x:v>
      </x:c>
      <x:c r="M57" s="9" t="str">
        <x:v>Intel Core i7-8665U / RAM 8GB / SSD 256GB / Intel UHD Graphics 620 / KHÔNG CẢM ỨNG</x:v>
      </x:c>
      <x:c r="N57" s="9" t="str">
        <x:v>SẴN SÀNG BÁN</x:v>
      </x:c>
      <x:c r="O57" s="11" t="n">
        <x:v>7500000</x:v>
      </x:c>
      <x:c r="P57" s="12" t="n">
        <x:v>46282</x:v>
      </x:c>
      <x:c r="Q57" s="12" t="n">
        <x:v>46282</x:v>
      </x:c>
      <x:c r="R57" s="11" t="n">
        <x:v>25</x:v>
      </x:c>
      <x:c r="S57" s="9" t="str">
        <x:v>MUA/NHẬP HÀNG</x:v>
      </x:c>
      <x:c r="T57" s="10" t="str">
        <x:v>DM-000025</x:v>
      </x:c>
      <x:c r="U57" s="10" t="str">
        <x:v>6L8BL13::1</x:v>
      </x:c>
      <x:c r="V57" s="9" t="str">
        <x:v>Trường số hồ sơ</x:v>
      </x:c>
      <x:c r="W57" s="9" t="str">
        <x:v>Dell Latitude 7400</x:v>
      </x:c>
      <x:c r="X57" s="9" t="str">
        <x:v>Intel Core i7-8665U / RAM 8GB / SSD 256GB / Intel UHD Graphics 620 / KHÔNG CẢM ỨNG</x:v>
      </x:c>
      <x:c r="Y57" s="9"/>
      <x:c r="Z57" s="9" t="str">
        <x:v>SERIAL_REGISTRY!A332:AA332</x:v>
      </x:c>
      <x:c r="AA57" s="9" t="str">
        <x:v>EVT-IN-5954740EC26DE37E52C8</x:v>
      </x:c>
      <x:c r="AB57" s="9"/>
      <x:c r="AC57" s="11"/>
      <x:c r="AD57" s="9"/>
    </x:row>
    <x:row r="58" ht="42" customHeight="1">
      <x:c r="A58" s="10" t="str">
        <x:v>BM0YYY2</x:v>
      </x:c>
      <x:c r="B58" s="9" t="str">
        <x:v>KHỚP DỮ LIỆU</x:v>
      </x:c>
      <x:c r="C58" s="9" t="str">
        <x:v>Dell</x:v>
      </x:c>
      <x:c r="D58" s="9" t="str">
        <x:v>Dell Latitude 7400</x:v>
      </x:c>
      <x:c r="E58" s="10" t="str">
        <x:v>BT-000182</x:v>
      </x:c>
      <x:c r="F58" s="9" t="str">
        <x:v>Dell Latitude 7400 · Intel Core i7-8665U · không cảm ứng · Intel UHD Graphics 620</x:v>
      </x:c>
      <x:c r="G58" s="9" t="str">
        <x:v>Intel Core i7-8665U</x:v>
      </x:c>
      <x:c r="H58" s="9" t="str">
        <x:v>Intel Core i7-8665U</x:v>
      </x:c>
      <x:c r="I58" s="11" t="n">
        <x:v>8</x:v>
      </x:c>
      <x:c r="J58" s="11" t="n">
        <x:v>256</x:v>
      </x:c>
      <x:c r="K58" s="9" t="str">
        <x:v>Intel UHD Graphics 620</x:v>
      </x:c>
      <x:c r="L58" s="9" t="str">
        <x:v>KHÔNG CẢM ỨNG</x:v>
      </x:c>
      <x:c r="M58" s="9" t="str">
        <x:v>Intel Core i7-8665U / RAM 8GB / SSD 256GB / Intel UHD Graphics 620 / KHÔNG CẢM ỨNG</x:v>
      </x:c>
      <x:c r="N58" s="9" t="str">
        <x:v>SẴN SÀNG BÁN</x:v>
      </x:c>
      <x:c r="O58" s="11" t="n">
        <x:v>7500000</x:v>
      </x:c>
      <x:c r="P58" s="12" t="n">
        <x:v>46282</x:v>
      </x:c>
      <x:c r="Q58" s="12" t="n">
        <x:v>46288</x:v>
      </x:c>
      <x:c r="R58" s="11" t="n">
        <x:v>19</x:v>
      </x:c>
      <x:c r="S58" s="9" t="str">
        <x:v>MUA/NHẬP HÀNG</x:v>
      </x:c>
      <x:c r="T58" s="10" t="str">
        <x:v>DM-000025</x:v>
      </x:c>
      <x:c r="U58" s="10" t="str">
        <x:v>BM0YYY2::1</x:v>
      </x:c>
      <x:c r="V58" s="9" t="str">
        <x:v>Trường số hồ sơ</x:v>
      </x:c>
      <x:c r="W58" s="9" t="str">
        <x:v>Dell Latitude 7400</x:v>
      </x:c>
      <x:c r="X58" s="9" t="str">
        <x:v>Intel Core i7-8665U / RAM 8GB / SSD 256GB / Intel UHD Graphics 620 / KHÔNG CẢM ỨNG</x:v>
      </x:c>
      <x:c r="Y58" s="9"/>
      <x:c r="Z58" s="9" t="str">
        <x:v>SERIAL_REGISTRY!A341:AA341</x:v>
      </x:c>
      <x:c r="AA58" s="9" t="str">
        <x:v>EVT-QC-BE1A24A3A21983961812</x:v>
      </x:c>
      <x:c r="AB58" s="9"/>
      <x:c r="AC58" s="11"/>
      <x:c r="AD58" s="9"/>
    </x:row>
    <x:row r="59" ht="42" customHeight="1">
      <x:c r="A59" s="10" t="str">
        <x:v>CH23Q13</x:v>
      </x:c>
      <x:c r="B59" s="9" t="str">
        <x:v>KHỚP DỮ LIỆU</x:v>
      </x:c>
      <x:c r="C59" s="9" t="str">
        <x:v>Dell</x:v>
      </x:c>
      <x:c r="D59" s="9" t="str">
        <x:v>Dell Latitude 7400</x:v>
      </x:c>
      <x:c r="E59" s="10" t="str">
        <x:v>BT-000182</x:v>
      </x:c>
      <x:c r="F59" s="9" t="str">
        <x:v>Dell Latitude 7400 · Intel Core i7-8665U · không cảm ứng · Intel UHD Graphics 620</x:v>
      </x:c>
      <x:c r="G59" s="9" t="str">
        <x:v>Intel Core i7-8665U</x:v>
      </x:c>
      <x:c r="H59" s="9" t="str">
        <x:v>Intel Core i7-8665U</x:v>
      </x:c>
      <x:c r="I59" s="11" t="n">
        <x:v>8</x:v>
      </x:c>
      <x:c r="J59" s="11" t="n">
        <x:v>256</x:v>
      </x:c>
      <x:c r="K59" s="9" t="str">
        <x:v>Intel UHD Graphics 620</x:v>
      </x:c>
      <x:c r="L59" s="9" t="str">
        <x:v>KHÔNG CẢM ỨNG</x:v>
      </x:c>
      <x:c r="M59" s="9" t="str">
        <x:v>Intel Core i7-8665U / RAM 8GB / SSD 256GB / Intel UHD Graphics 620 / KHÔNG CẢM ỨNG</x:v>
      </x:c>
      <x:c r="N59" s="9" t="str">
        <x:v>SẴN SÀNG BÁN</x:v>
      </x:c>
      <x:c r="O59" s="11" t="n">
        <x:v>7500000</x:v>
      </x:c>
      <x:c r="P59" s="12" t="n">
        <x:v>46282</x:v>
      </x:c>
      <x:c r="Q59" s="12" t="n">
        <x:v>46282</x:v>
      </x:c>
      <x:c r="R59" s="11" t="n">
        <x:v>25</x:v>
      </x:c>
      <x:c r="S59" s="9" t="str">
        <x:v>MUA/NHẬP HÀNG</x:v>
      </x:c>
      <x:c r="T59" s="10" t="str">
        <x:v>DM-000025</x:v>
      </x:c>
      <x:c r="U59" s="10" t="str">
        <x:v>CH23Q13::1</x:v>
      </x:c>
      <x:c r="V59" s="9" t="str">
        <x:v>Trường số hồ sơ</x:v>
      </x:c>
      <x:c r="W59" s="9" t="str">
        <x:v>Dell Latitude 7400</x:v>
      </x:c>
      <x:c r="X59" s="9" t="str">
        <x:v>Intel Core i7-8665U / RAM 8GB / SSD 256GB / Intel UHD Graphics 620 / KHÔNG CẢM ỨNG</x:v>
      </x:c>
      <x:c r="Y59" s="9"/>
      <x:c r="Z59" s="9" t="str">
        <x:v>SERIAL_REGISTRY!A337:AA337</x:v>
      </x:c>
      <x:c r="AA59" s="9" t="str">
        <x:v>EVT-IN-C3DC6C164052FCE44367</x:v>
      </x:c>
      <x:c r="AB59" s="9"/>
      <x:c r="AC59" s="11"/>
      <x:c r="AD59" s="9"/>
    </x:row>
    <x:row r="60" ht="42" customHeight="1">
      <x:c r="A60" s="10" t="str">
        <x:v>FRVD733</x:v>
      </x:c>
      <x:c r="B60" s="9" t="str">
        <x:v>KHỚP DỮ LIỆU</x:v>
      </x:c>
      <x:c r="C60" s="9" t="str">
        <x:v>Dell</x:v>
      </x:c>
      <x:c r="D60" s="9" t="str">
        <x:v>Dell Latitude 7400</x:v>
      </x:c>
      <x:c r="E60" s="10" t="str">
        <x:v>BT-000182</x:v>
      </x:c>
      <x:c r="F60" s="9" t="str">
        <x:v>Dell Latitude 7400 · Intel Core i7-8665U · không cảm ứng · Intel UHD Graphics 620</x:v>
      </x:c>
      <x:c r="G60" s="9" t="str">
        <x:v>Intel Core i7-8665U</x:v>
      </x:c>
      <x:c r="H60" s="9" t="str">
        <x:v>Intel Core i7-8665U</x:v>
      </x:c>
      <x:c r="I60" s="11" t="n">
        <x:v>8</x:v>
      </x:c>
      <x:c r="J60" s="11" t="n">
        <x:v>256</x:v>
      </x:c>
      <x:c r="K60" s="9" t="str">
        <x:v>Intel UHD Graphics 620</x:v>
      </x:c>
      <x:c r="L60" s="9" t="str">
        <x:v>KHÔNG CẢM ỨNG</x:v>
      </x:c>
      <x:c r="M60" s="9" t="str">
        <x:v>Intel Core i7-8665U / RAM 8GB / SSD 256GB / Intel UHD Graphics 620 / KHÔNG CẢM ỨNG</x:v>
      </x:c>
      <x:c r="N60" s="9" t="str">
        <x:v>SẴN SÀNG BÁN</x:v>
      </x:c>
      <x:c r="O60" s="11" t="n">
        <x:v>7500000</x:v>
      </x:c>
      <x:c r="P60" s="12" t="n">
        <x:v>46282</x:v>
      </x:c>
      <x:c r="Q60" s="12" t="n">
        <x:v>46282</x:v>
      </x:c>
      <x:c r="R60" s="11" t="n">
        <x:v>25</x:v>
      </x:c>
      <x:c r="S60" s="9" t="str">
        <x:v>MUA/NHẬP HÀNG</x:v>
      </x:c>
      <x:c r="T60" s="10" t="str">
        <x:v>DM-000025</x:v>
      </x:c>
      <x:c r="U60" s="10" t="str">
        <x:v>FRVD733::1</x:v>
      </x:c>
      <x:c r="V60" s="9" t="str">
        <x:v>Trường số hồ sơ</x:v>
      </x:c>
      <x:c r="W60" s="9" t="str">
        <x:v>Dell Latitude 7400</x:v>
      </x:c>
      <x:c r="X60" s="9" t="str">
        <x:v>Intel Core i7-8665U / RAM 8GB / SSD 256GB / Intel UHD Graphics 620 / KHÔNG CẢM ỨNG</x:v>
      </x:c>
      <x:c r="Y60" s="9"/>
      <x:c r="Z60" s="9" t="str">
        <x:v>SERIAL_REGISTRY!A333:AA333</x:v>
      </x:c>
      <x:c r="AA60" s="9" t="str">
        <x:v>EVT-IN-35DF261F34CCB0B385FF</x:v>
      </x:c>
      <x:c r="AB60" s="9"/>
      <x:c r="AC60" s="11"/>
      <x:c r="AD60" s="9"/>
    </x:row>
    <x:row r="61" ht="42" customHeight="1">
      <x:c r="A61" s="10" t="str">
        <x:v>G9BQ533</x:v>
      </x:c>
      <x:c r="B61" s="9" t="str">
        <x:v>KHỚP DỮ LIỆU</x:v>
      </x:c>
      <x:c r="C61" s="9" t="str">
        <x:v>Dell</x:v>
      </x:c>
      <x:c r="D61" s="9" t="str">
        <x:v>Dell Latitude 7400</x:v>
      </x:c>
      <x:c r="E61" s="10" t="str">
        <x:v>BT-000182</x:v>
      </x:c>
      <x:c r="F61" s="9" t="str">
        <x:v>Dell Latitude 7400 · Intel Core i7-8665U · không cảm ứng · Intel UHD Graphics 620</x:v>
      </x:c>
      <x:c r="G61" s="9" t="str">
        <x:v>Intel Core i7-8665U</x:v>
      </x:c>
      <x:c r="H61" s="9" t="str">
        <x:v>Intel Core i7-8665U</x:v>
      </x:c>
      <x:c r="I61" s="11" t="n">
        <x:v>8</x:v>
      </x:c>
      <x:c r="J61" s="11" t="n">
        <x:v>256</x:v>
      </x:c>
      <x:c r="K61" s="9" t="str">
        <x:v>Intel UHD Graphics 620</x:v>
      </x:c>
      <x:c r="L61" s="9" t="str">
        <x:v>KHÔNG CẢM ỨNG</x:v>
      </x:c>
      <x:c r="M61" s="9" t="str">
        <x:v>Intel Core i7-8665U / RAM 8GB / SSD 256GB / Intel UHD Graphics 620 / KHÔNG CẢM ỨNG</x:v>
      </x:c>
      <x:c r="N61" s="9" t="str">
        <x:v>SẴN SÀNG BÁN</x:v>
      </x:c>
      <x:c r="O61" s="11" t="n">
        <x:v>7500000</x:v>
      </x:c>
      <x:c r="P61" s="12" t="n">
        <x:v>46300</x:v>
      </x:c>
      <x:c r="Q61" s="12" t="n">
        <x:v>46300</x:v>
      </x:c>
      <x:c r="R61" s="11" t="n">
        <x:v>7</x:v>
      </x:c>
      <x:c r="S61" s="9" t="str">
        <x:v>KHÁCH ĐỔI/TRẢ</x:v>
      </x:c>
      <x:c r="T61" s="10" t="str">
        <x:v>DM-000025</x:v>
      </x:c>
      <x:c r="U61" s="10" t="str">
        <x:v>G9BQ533::2</x:v>
      </x:c>
      <x:c r="V61" s="9" t="str">
        <x:v>Trường số hồ sơ</x:v>
      </x:c>
      <x:c r="W61" s="9" t="str">
        <x:v>Dell Latitude 7400</x:v>
      </x:c>
      <x:c r="X61" s="9" t="str">
        <x:v>Intel Core i7-8665U / RAM 8GB / SSD 256GB / Intel UHD Graphics 620 / KHÔNG CẢM ỨNG</x:v>
      </x:c>
      <x:c r="Y61" s="9"/>
      <x:c r="Z61" s="9" t="str">
        <x:v>SERIAL_REGISTRY!A331:AA331</x:v>
      </x:c>
      <x:c r="AA61" s="9" t="str">
        <x:v>EVT-QC-F95BAFAA7CBE1F0FA5A9</x:v>
      </x:c>
      <x:c r="AB61" s="9"/>
      <x:c r="AC61" s="11"/>
      <x:c r="AD61" s="9"/>
    </x:row>
    <x:row r="62" ht="42" customHeight="1">
      <x:c r="A62" s="10" t="str">
        <x:v>CDWSXD3</x:v>
      </x:c>
      <x:c r="B62" s="9" t="str">
        <x:v>THIẾU THÔNG SỐ</x:v>
      </x:c>
      <x:c r="C62" s="9" t="str">
        <x:v>Dell</x:v>
      </x:c>
      <x:c r="D62" s="9" t="str">
        <x:v>Dell Latitude 7410</x:v>
      </x:c>
      <x:c r="E62" s="10" t="str">
        <x:v>BT-000001</x:v>
      </x:c>
      <x:c r="F62" s="9" t="str">
        <x:v>Dell Latitude 7410 · Core i5 · không cảm ứng</x:v>
      </x:c>
      <x:c r="G62" s="9" t="str">
        <x:v>Intel Core i5</x:v>
      </x:c>
      <x:c r="H62" s="9" t="str">
        <x:v>Core I5-10310U</x:v>
      </x:c>
      <x:c r="I62" s="11" t="n">
        <x:v>16</x:v>
      </x:c>
      <x:c r="J62" s="11" t="n">
        <x:v>256</x:v>
      </x:c>
      <x:c r="K62" s="9"/>
      <x:c r="L62" s="9" t="str">
        <x:v>KHÔNG CẢM ỨNG</x:v>
      </x:c>
      <x:c r="M62" s="9" t="str">
        <x:v>Core I5-10310U / RAM 16GB / SSD 256GB / 14'' FHD</x:v>
      </x:c>
      <x:c r="N62" s="9" t="str">
        <x:v>SẴN SÀNG BÁN</x:v>
      </x:c>
      <x:c r="O62" s="11" t="n">
        <x:v>7900000</x:v>
      </x:c>
      <x:c r="P62" s="12" t="n">
        <x:v>46234</x:v>
      </x:c>
      <x:c r="Q62" s="12" t="n">
        <x:v>46234</x:v>
      </x:c>
      <x:c r="R62" s="11" t="n">
        <x:v>73</x:v>
      </x:c>
      <x:c r="S62" s="9" t="str">
        <x:v>SỐ DƯ ĐẦU KỲ</x:v>
      </x:c>
      <x:c r="T62" s="10" t="str">
        <x:v>DM-000001</x:v>
      </x:c>
      <x:c r="U62" s="10" t="str">
        <x:v>CDWSXD3::1</x:v>
      </x:c>
      <x:c r="V62" s="9" t="str">
        <x:v>Tách từ cấu hình theo serial</x:v>
      </x:c>
      <x:c r="W62" s="9" t="str">
        <x:v>Dell Latitude 7410</x:v>
      </x:c>
      <x:c r="X62" s="9" t="str">
        <x:v>Core I5-10310U / RAM 16GB / SSD 256GB / 14'' FHD</x:v>
      </x:c>
      <x:c r="Y62" s="9" t="str">
        <x:v>Chưa có GPU theo serial</x:v>
      </x:c>
      <x:c r="Z62" s="9" t="str">
        <x:v>SERIAL_REGISTRY!A69:AA69</x:v>
      </x:c>
      <x:c r="AA62" s="9" t="str">
        <x:v>EVT-PRICE-194E627223404308E270</x:v>
      </x:c>
      <x:c r="AB62" s="9"/>
      <x:c r="AC62" s="11"/>
      <x:c r="AD62" s="9"/>
    </x:row>
    <x:row r="63" ht="42" customHeight="1">
      <x:c r="A63" s="10" t="str">
        <x:v>FG6P163</x:v>
      </x:c>
      <x:c r="B63" s="9" t="str">
        <x:v>THIẾU THÔNG SỐ</x:v>
      </x:c>
      <x:c r="C63" s="9" t="str">
        <x:v>Dell</x:v>
      </x:c>
      <x:c r="D63" s="9" t="str">
        <x:v>Dell Latitude 7410</x:v>
      </x:c>
      <x:c r="E63" s="10" t="str">
        <x:v>BT-000001</x:v>
      </x:c>
      <x:c r="F63" s="9" t="str">
        <x:v>Dell Latitude 7410 · Core i5 · không cảm ứng</x:v>
      </x:c>
      <x:c r="G63" s="9" t="str">
        <x:v>Intel Core i5</x:v>
      </x:c>
      <x:c r="H63" s="9" t="str">
        <x:v>Core I5-10310U</x:v>
      </x:c>
      <x:c r="I63" s="11" t="n">
        <x:v>16</x:v>
      </x:c>
      <x:c r="J63" s="11" t="n">
        <x:v>256</x:v>
      </x:c>
      <x:c r="K63" s="9"/>
      <x:c r="L63" s="9" t="str">
        <x:v>KHÔNG CẢM ỨNG</x:v>
      </x:c>
      <x:c r="M63" s="9" t="str">
        <x:v>Core I5-10310U / RAM 16GB / SSD 256GB / 14'' FHD</x:v>
      </x:c>
      <x:c r="N63" s="9" t="str">
        <x:v>SẴN SÀNG BÁN</x:v>
      </x:c>
      <x:c r="O63" s="11" t="n">
        <x:v>7900000</x:v>
      </x:c>
      <x:c r="P63" s="12" t="n">
        <x:v>46235</x:v>
      </x:c>
      <x:c r="Q63" s="12" t="n">
        <x:v>46235</x:v>
      </x:c>
      <x:c r="R63" s="11" t="n">
        <x:v>72</x:v>
      </x:c>
      <x:c r="S63" s="9" t="str">
        <x:v>MUA/NHẬP HÀNG</x:v>
      </x:c>
      <x:c r="T63" s="10" t="str">
        <x:v>DM-000001</x:v>
      </x:c>
      <x:c r="U63" s="10" t="str">
        <x:v>FG6P163::1</x:v>
      </x:c>
      <x:c r="V63" s="9" t="str">
        <x:v>Tách từ cấu hình theo serial</x:v>
      </x:c>
      <x:c r="W63" s="9" t="str">
        <x:v>Dell Latitude 7410</x:v>
      </x:c>
      <x:c r="X63" s="9" t="str">
        <x:v>Core I5-10310U / RAM 16GB / SSD 256GB / 14'' FHD</x:v>
      </x:c>
      <x:c r="Y63" s="9" t="str">
        <x:v>Chưa có GPU theo serial</x:v>
      </x:c>
      <x:c r="Z63" s="9" t="str">
        <x:v>SERIAL_REGISTRY!A119:AA119</x:v>
      </x:c>
      <x:c r="AA63" s="9" t="str">
        <x:v>EVT-PRICE-194E627223404308E270</x:v>
      </x:c>
      <x:c r="AB63" s="9"/>
      <x:c r="AC63" s="11"/>
      <x:c r="AD63" s="9"/>
    </x:row>
    <x:row r="64" ht="42" customHeight="1">
      <x:c r="A64" s="10" t="str">
        <x:v>4353454</x:v>
      </x:c>
      <x:c r="B64" s="9" t="str">
        <x:v>THIẾU THÔNG SỐ</x:v>
      </x:c>
      <x:c r="C64" s="9" t="str">
        <x:v>Dell</x:v>
      </x:c>
      <x:c r="D64" s="9" t="str">
        <x:v>Dell Latitude 7410</x:v>
      </x:c>
      <x:c r="E64" s="10" t="str">
        <x:v>BT-000002</x:v>
      </x:c>
      <x:c r="F64" s="9" t="str">
        <x:v>Dell Latitude 7410 · Core i5 · cảm ứng</x:v>
      </x:c>
      <x:c r="G64" s="9" t="str">
        <x:v>Intel Core i5</x:v>
      </x:c>
      <x:c r="H64" s="9" t="str">
        <x:v>Core i5-10310U</x:v>
      </x:c>
      <x:c r="I64" s="11" t="n">
        <x:v>16</x:v>
      </x:c>
      <x:c r="J64" s="11" t="n">
        <x:v>256</x:v>
      </x:c>
      <x:c r="K64" s="9"/>
      <x:c r="L64" s="9" t="str">
        <x:v>CÓ CẢM ỨNG</x:v>
      </x:c>
      <x:c r="M64" s="9" t="str">
        <x:v>Core i5-10310U / RAM 16GB / SSD 256GB / 14'' FHD</x:v>
      </x:c>
      <x:c r="N64" s="9" t="str">
        <x:v>CẦN KIỂM TRA</x:v>
      </x:c>
      <x:c r="O64" s="11" t="n">
        <x:v>10900000</x:v>
      </x:c>
      <x:c r="P64" s="12" t="n">
        <x:v>46269</x:v>
      </x:c>
      <x:c r="Q64" s="12"/>
      <x:c r="R64" s="11"/>
      <x:c r="S64" s="9" t="str">
        <x:v>KHÁCH ĐỔI/TRẢ</x:v>
      </x:c>
      <x:c r="T64" s="10" t="str">
        <x:v>DM-000001</x:v>
      </x:c>
      <x:c r="U64" s="10" t="str">
        <x:v>4353454::2</x:v>
      </x:c>
      <x:c r="V64" s="9" t="str">
        <x:v>Tách từ cấu hình theo serial</x:v>
      </x:c>
      <x:c r="W64" s="9" t="str">
        <x:v>Dell Latitude 7410</x:v>
      </x:c>
      <x:c r="X64" s="9" t="str">
        <x:v>Core i5-10310U / RAM 16GB / SSD 256GB / 14'' FHD</x:v>
      </x:c>
      <x:c r="Y64" s="9" t="str">
        <x:v>Chưa có GPU theo serial</x:v>
      </x:c>
      <x:c r="Z64" s="9" t="str">
        <x:v>SERIAL_REGISTRY!A80:AA80</x:v>
      </x:c>
      <x:c r="AA64" s="9" t="str">
        <x:v>EVT-IN-EA35EDD18D14BA530EFA</x:v>
      </x:c>
      <x:c r="AB64" s="9"/>
      <x:c r="AC64" s="11"/>
      <x:c r="AD64" s="9"/>
    </x:row>
    <x:row r="65" ht="42" customHeight="1">
      <x:c r="A65" s="10" t="str">
        <x:v>2FVJ9K3</x:v>
      </x:c>
      <x:c r="B65" s="9" t="str">
        <x:v>KHỚP DỮ LIỆU</x:v>
      </x:c>
      <x:c r="C65" s="9" t="str">
        <x:v>Dell</x:v>
      </x:c>
      <x:c r="D65" s="9" t="str">
        <x:v>Dell Latitude 7420</x:v>
      </x:c>
      <x:c r="E65" s="10" t="str">
        <x:v>BT-000069</x:v>
      </x:c>
      <x:c r="F65" s="9" t="str">
        <x:v>Dell Latitude 7420 · Intel Core i7-1185G7 · KHÔNG CẢM ỨNG · LAPTOP THƯỜNG</x:v>
      </x:c>
      <x:c r="G65" s="9" t="str">
        <x:v>Intel Core i7-1185G7</x:v>
      </x:c>
      <x:c r="H65" s="9" t="str">
        <x:v>Intel Core i7-1185G7</x:v>
      </x:c>
      <x:c r="I65" s="11" t="n">
        <x:v>16</x:v>
      </x:c>
      <x:c r="J65" s="11" t="n">
        <x:v>256</x:v>
      </x:c>
      <x:c r="K65" s="9" t="str">
        <x:v>Intel Iris Xe Graphics</x:v>
      </x:c>
      <x:c r="L65" s="9" t="str">
        <x:v>KHÔNG CẢM ỨNG</x:v>
      </x:c>
      <x:c r="M65" s="9" t="str">
        <x:v>Intel Core i7-1185G7 / RAM 16GB / SSD 256GB / Intel Iris Xe Graphics / KHÔNG CẢM ỨNG</x:v>
      </x:c>
      <x:c r="N65" s="9" t="str">
        <x:v>SẴN SÀNG BÁN</x:v>
      </x:c>
      <x:c r="O65" s="11" t="n">
        <x:v>12500000</x:v>
      </x:c>
      <x:c r="P65" s="12" t="n">
        <x:v>46283</x:v>
      </x:c>
      <x:c r="Q65" s="12" t="n">
        <x:v>46283</x:v>
      </x:c>
      <x:c r="R65" s="11" t="n">
        <x:v>24</x:v>
      </x:c>
      <x:c r="S65" s="9" t="str">
        <x:v>MUA/NHẬP HÀNG</x:v>
      </x:c>
      <x:c r="T65" s="10" t="str">
        <x:v>DM-000021</x:v>
      </x:c>
      <x:c r="U65" s="10" t="str">
        <x:v>2FVJ9K3::1</x:v>
      </x:c>
      <x:c r="V65" s="9" t="str">
        <x:v>Trường số hồ sơ</x:v>
      </x:c>
      <x:c r="W65" s="9" t="str">
        <x:v>Dell Latitude 7420</x:v>
      </x:c>
      <x:c r="X65" s="9" t="str">
        <x:v>Intel Core i7-1185G7 / RAM 16GB / SSD 256GB / Intel Iris Xe Graphics / KHÔNG CẢM ỨNG</x:v>
      </x:c>
      <x:c r="Y65" s="9"/>
      <x:c r="Z65" s="9" t="str">
        <x:v>SERIAL_REGISTRY!A347:AA347</x:v>
      </x:c>
      <x:c r="AA65" s="9" t="str">
        <x:v>EVT-PRICE-23006BDD6056643E5026</x:v>
      </x:c>
      <x:c r="AB65" s="9"/>
      <x:c r="AC65" s="11"/>
      <x:c r="AD65" s="9"/>
    </x:row>
    <x:row r="66" ht="42" customHeight="1">
      <x:c r="A66" s="10" t="str">
        <x:v>3QK63J3</x:v>
      </x:c>
      <x:c r="B66" s="9" t="str">
        <x:v>KHỚP DỮ LIỆU</x:v>
      </x:c>
      <x:c r="C66" s="9" t="str">
        <x:v>Dell</x:v>
      </x:c>
      <x:c r="D66" s="9" t="str">
        <x:v>Dell Latitude 7420</x:v>
      </x:c>
      <x:c r="E66" s="10" t="str">
        <x:v>BT-000069</x:v>
      </x:c>
      <x:c r="F66" s="9" t="str">
        <x:v>Dell Latitude 7420 · Intel Core i7-1185G7 · KHÔNG CẢM ỨNG · LAPTOP THƯỜNG</x:v>
      </x:c>
      <x:c r="G66" s="9" t="str">
        <x:v>Intel Core i7-1185G7</x:v>
      </x:c>
      <x:c r="H66" s="9" t="str">
        <x:v>Intel Core i7-1185G7</x:v>
      </x:c>
      <x:c r="I66" s="11" t="n">
        <x:v>16</x:v>
      </x:c>
      <x:c r="J66" s="11" t="n">
        <x:v>256</x:v>
      </x:c>
      <x:c r="K66" s="9" t="str">
        <x:v>Intel Iris Xe Graphics</x:v>
      </x:c>
      <x:c r="L66" s="9" t="str">
        <x:v>KHÔNG CẢM ỨNG</x:v>
      </x:c>
      <x:c r="M66" s="9" t="str">
        <x:v>Intel Core i7-1185G7 / RAM 16GB / SSD 256GB / Intel Iris Xe Graphics / KHÔNG CẢM ỨNG</x:v>
      </x:c>
      <x:c r="N66" s="9" t="str">
        <x:v>SẴN SÀNG BÁN</x:v>
      </x:c>
      <x:c r="O66" s="11" t="n">
        <x:v>12500000</x:v>
      </x:c>
      <x:c r="P66" s="12" t="n">
        <x:v>46283</x:v>
      </x:c>
      <x:c r="Q66" s="12" t="n">
        <x:v>46283</x:v>
      </x:c>
      <x:c r="R66" s="11" t="n">
        <x:v>24</x:v>
      </x:c>
      <x:c r="S66" s="9" t="str">
        <x:v>MUA/NHẬP HÀNG</x:v>
      </x:c>
      <x:c r="T66" s="10" t="str">
        <x:v>DM-000021</x:v>
      </x:c>
      <x:c r="U66" s="10" t="str">
        <x:v>3QK63J3::1</x:v>
      </x:c>
      <x:c r="V66" s="9" t="str">
        <x:v>Trường số hồ sơ</x:v>
      </x:c>
      <x:c r="W66" s="9" t="str">
        <x:v>Dell Latitude 7420</x:v>
      </x:c>
      <x:c r="X66" s="9" t="str">
        <x:v>Intel Core i7-1185G7 / RAM 16GB / SSD 256GB / Intel Iris Xe Graphics / KHÔNG CẢM ỨNG</x:v>
      </x:c>
      <x:c r="Y66" s="9"/>
      <x:c r="Z66" s="9" t="str">
        <x:v>SERIAL_REGISTRY!A350:AA350</x:v>
      </x:c>
      <x:c r="AA66" s="9" t="str">
        <x:v>EVT-PRICE-23006BDD6056643E5026</x:v>
      </x:c>
      <x:c r="AB66" s="9"/>
      <x:c r="AC66" s="11"/>
      <x:c r="AD66" s="9"/>
    </x:row>
    <x:row r="67" ht="42" customHeight="1">
      <x:c r="A67" s="10" t="str">
        <x:v>468D6J3</x:v>
      </x:c>
      <x:c r="B67" s="9" t="str">
        <x:v>KHỚP DỮ LIỆU</x:v>
      </x:c>
      <x:c r="C67" s="9" t="str">
        <x:v>Dell</x:v>
      </x:c>
      <x:c r="D67" s="9" t="str">
        <x:v>Dell Latitude 7420</x:v>
      </x:c>
      <x:c r="E67" s="10" t="str">
        <x:v>BT-000069</x:v>
      </x:c>
      <x:c r="F67" s="9" t="str">
        <x:v>Dell Latitude 7420 · Intel Core i7-1185G7 · KHÔNG CẢM ỨNG · LAPTOP THƯỜNG</x:v>
      </x:c>
      <x:c r="G67" s="9" t="str">
        <x:v>Intel Core i7-1185G7</x:v>
      </x:c>
      <x:c r="H67" s="9" t="str">
        <x:v>Intel Core i7-1185G7</x:v>
      </x:c>
      <x:c r="I67" s="11" t="n">
        <x:v>16</x:v>
      </x:c>
      <x:c r="J67" s="11" t="n">
        <x:v>256</x:v>
      </x:c>
      <x:c r="K67" s="9" t="str">
        <x:v>Intel Iris Xe Graphics</x:v>
      </x:c>
      <x:c r="L67" s="9" t="str">
        <x:v>KHÔNG CẢM ỨNG</x:v>
      </x:c>
      <x:c r="M67" s="9" t="str">
        <x:v>Intel Core i7-1185G7 / RAM 16GB / SSD 256GB / Intel Iris Xe Graphics / KHÔNG CẢM ỨNG</x:v>
      </x:c>
      <x:c r="N67" s="9" t="str">
        <x:v>SẴN SÀNG BÁN</x:v>
      </x:c>
      <x:c r="O67" s="11" t="n">
        <x:v>12500000</x:v>
      </x:c>
      <x:c r="P67" s="12" t="n">
        <x:v>46283</x:v>
      </x:c>
      <x:c r="Q67" s="12" t="n">
        <x:v>46283</x:v>
      </x:c>
      <x:c r="R67" s="11" t="n">
        <x:v>24</x:v>
      </x:c>
      <x:c r="S67" s="9" t="str">
        <x:v>MUA/NHẬP HÀNG</x:v>
      </x:c>
      <x:c r="T67" s="10" t="str">
        <x:v>DM-000021</x:v>
      </x:c>
      <x:c r="U67" s="10" t="str">
        <x:v>468D6J3::1</x:v>
      </x:c>
      <x:c r="V67" s="9" t="str">
        <x:v>Trường số hồ sơ</x:v>
      </x:c>
      <x:c r="W67" s="9" t="str">
        <x:v>Dell Latitude 7420</x:v>
      </x:c>
      <x:c r="X67" s="9" t="str">
        <x:v>Intel Core i7-1185G7 / RAM 16GB / SSD 256GB / Intel Iris Xe Graphics / KHÔNG CẢM ỨNG</x:v>
      </x:c>
      <x:c r="Y67" s="9"/>
      <x:c r="Z67" s="9" t="str">
        <x:v>SERIAL_REGISTRY!A351:AA351</x:v>
      </x:c>
      <x:c r="AA67" s="9" t="str">
        <x:v>EVT-PRICE-23006BDD6056643E5026</x:v>
      </x:c>
      <x:c r="AB67" s="9"/>
      <x:c r="AC67" s="11"/>
      <x:c r="AD67" s="9"/>
    </x:row>
    <x:row r="68" ht="42" customHeight="1">
      <x:c r="A68" s="10" t="str">
        <x:v>4GNM6J3</x:v>
      </x:c>
      <x:c r="B68" s="9" t="str">
        <x:v>KHỚP DỮ LIỆU</x:v>
      </x:c>
      <x:c r="C68" s="9" t="str">
        <x:v>Dell</x:v>
      </x:c>
      <x:c r="D68" s="9" t="str">
        <x:v>Dell Latitude 7420</x:v>
      </x:c>
      <x:c r="E68" s="10" t="str">
        <x:v>BT-000069</x:v>
      </x:c>
      <x:c r="F68" s="9" t="str">
        <x:v>Dell Latitude 7420 · Intel Core i7-1185G7 · KHÔNG CẢM ỨNG · LAPTOP THƯỜNG</x:v>
      </x:c>
      <x:c r="G68" s="9" t="str">
        <x:v>Intel Core i7-1185G7</x:v>
      </x:c>
      <x:c r="H68" s="9" t="str">
        <x:v>Intel Core i7-1185G7</x:v>
      </x:c>
      <x:c r="I68" s="11" t="n">
        <x:v>16</x:v>
      </x:c>
      <x:c r="J68" s="11" t="n">
        <x:v>256</x:v>
      </x:c>
      <x:c r="K68" s="9" t="str">
        <x:v>Intel Iris Xe Graphics</x:v>
      </x:c>
      <x:c r="L68" s="9" t="str">
        <x:v>KHÔNG CẢM ỨNG</x:v>
      </x:c>
      <x:c r="M68" s="9" t="str">
        <x:v>Intel Core i7-1185G7 / RAM 16GB / SSD 256GB / Intel Iris Xe Graphics / KHÔNG CẢM ỨNG</x:v>
      </x:c>
      <x:c r="N68" s="9" t="str">
        <x:v>SẴN SÀNG BÁN</x:v>
      </x:c>
      <x:c r="O68" s="11" t="n">
        <x:v>12500000</x:v>
      </x:c>
      <x:c r="P68" s="12" t="n">
        <x:v>46283</x:v>
      </x:c>
      <x:c r="Q68" s="12" t="n">
        <x:v>46283</x:v>
      </x:c>
      <x:c r="R68" s="11" t="n">
        <x:v>24</x:v>
      </x:c>
      <x:c r="S68" s="9" t="str">
        <x:v>MUA/NHẬP HÀNG</x:v>
      </x:c>
      <x:c r="T68" s="10" t="str">
        <x:v>DM-000021</x:v>
      </x:c>
      <x:c r="U68" s="10" t="str">
        <x:v>4GNM6J3::1</x:v>
      </x:c>
      <x:c r="V68" s="9" t="str">
        <x:v>Trường số hồ sơ</x:v>
      </x:c>
      <x:c r="W68" s="9" t="str">
        <x:v>Dell Latitude 7420</x:v>
      </x:c>
      <x:c r="X68" s="9" t="str">
        <x:v>Intel Core i7-1185G7 / RAM 16GB / SSD 256GB / Intel Iris Xe Graphics / KHÔNG CẢM ỨNG</x:v>
      </x:c>
      <x:c r="Y68" s="9"/>
      <x:c r="Z68" s="9" t="str">
        <x:v>SERIAL_REGISTRY!A352:AA352</x:v>
      </x:c>
      <x:c r="AA68" s="9" t="str">
        <x:v>EVT-PRICE-23006BDD6056643E5026</x:v>
      </x:c>
      <x:c r="AB68" s="9"/>
      <x:c r="AC68" s="11"/>
      <x:c r="AD68" s="9"/>
    </x:row>
    <x:row r="69" ht="42" customHeight="1">
      <x:c r="A69" s="10" t="str">
        <x:v>BBBN2F3</x:v>
      </x:c>
      <x:c r="B69" s="9" t="str">
        <x:v>KHỚP DỮ LIỆU</x:v>
      </x:c>
      <x:c r="C69" s="9" t="str">
        <x:v>Dell</x:v>
      </x:c>
      <x:c r="D69" s="9" t="str">
        <x:v>Dell Latitude 7420</x:v>
      </x:c>
      <x:c r="E69" s="10" t="str">
        <x:v>BT-000069</x:v>
      </x:c>
      <x:c r="F69" s="9" t="str">
        <x:v>Dell Latitude 7420 · Intel Core i7-1185G7 · KHÔNG CẢM ỨNG · LAPTOP THƯỜNG</x:v>
      </x:c>
      <x:c r="G69" s="9" t="str">
        <x:v>Intel Core i7-1185G7</x:v>
      </x:c>
      <x:c r="H69" s="9" t="str">
        <x:v>Intel Core i7-1185G7</x:v>
      </x:c>
      <x:c r="I69" s="11" t="n">
        <x:v>16</x:v>
      </x:c>
      <x:c r="J69" s="11" t="n">
        <x:v>256</x:v>
      </x:c>
      <x:c r="K69" s="9" t="str">
        <x:v>Intel Iris Xe Graphics</x:v>
      </x:c>
      <x:c r="L69" s="9" t="str">
        <x:v>KHÔNG CẢM ỨNG</x:v>
      </x:c>
      <x:c r="M69" s="9" t="str">
        <x:v>Intel Core i7-1185G7 / RAM 16GB / SSD 256GB / Intel Iris Xe Graphics / KHÔNG CẢM ỨNG</x:v>
      </x:c>
      <x:c r="N69" s="9" t="str">
        <x:v>SẴN SÀNG BÁN</x:v>
      </x:c>
      <x:c r="O69" s="11" t="n">
        <x:v>12500000</x:v>
      </x:c>
      <x:c r="P69" s="12" t="n">
        <x:v>46283</x:v>
      </x:c>
      <x:c r="Q69" s="12" t="n">
        <x:v>46283</x:v>
      </x:c>
      <x:c r="R69" s="11" t="n">
        <x:v>24</x:v>
      </x:c>
      <x:c r="S69" s="9" t="str">
        <x:v>MUA/NHẬP HÀNG</x:v>
      </x:c>
      <x:c r="T69" s="10" t="str">
        <x:v>DM-000021</x:v>
      </x:c>
      <x:c r="U69" s="10" t="str">
        <x:v>BBBN2F3::1</x:v>
      </x:c>
      <x:c r="V69" s="9" t="str">
        <x:v>Trường số hồ sơ</x:v>
      </x:c>
      <x:c r="W69" s="9" t="str">
        <x:v>Dell Latitude 7420</x:v>
      </x:c>
      <x:c r="X69" s="9" t="str">
        <x:v>Intel Core i7-1185G7 / RAM 16GB / SSD 256GB / Intel Iris Xe Graphics / KHÔNG CẢM ỨNG</x:v>
      </x:c>
      <x:c r="Y69" s="9"/>
      <x:c r="Z69" s="9" t="str">
        <x:v>SERIAL_REGISTRY!A345:AA345</x:v>
      </x:c>
      <x:c r="AA69" s="9" t="str">
        <x:v>EVT-PRICE-23006BDD6056643E5026</x:v>
      </x:c>
      <x:c r="AB69" s="9"/>
      <x:c r="AC69" s="11"/>
      <x:c r="AD69" s="9"/>
    </x:row>
    <x:row r="70" ht="42" customHeight="1">
      <x:c r="A70" s="10" t="str">
        <x:v>G8T89K3</x:v>
      </x:c>
      <x:c r="B70" s="9" t="str">
        <x:v>KHỚP DỮ LIỆU</x:v>
      </x:c>
      <x:c r="C70" s="9" t="str">
        <x:v>Dell</x:v>
      </x:c>
      <x:c r="D70" s="9" t="str">
        <x:v>Dell Latitude 7420</x:v>
      </x:c>
      <x:c r="E70" s="10" t="str">
        <x:v>BT-000069</x:v>
      </x:c>
      <x:c r="F70" s="9" t="str">
        <x:v>Dell Latitude 7420 · Intel Core i7-1185G7 · KHÔNG CẢM ỨNG · LAPTOP THƯỜNG</x:v>
      </x:c>
      <x:c r="G70" s="9" t="str">
        <x:v>Intel Core i7-1185G7</x:v>
      </x:c>
      <x:c r="H70" s="9" t="str">
        <x:v>Intel Core i7-1185G7</x:v>
      </x:c>
      <x:c r="I70" s="11" t="n">
        <x:v>16</x:v>
      </x:c>
      <x:c r="J70" s="11" t="n">
        <x:v>256</x:v>
      </x:c>
      <x:c r="K70" s="9" t="str">
        <x:v>Intel Iris Xe Graphics</x:v>
      </x:c>
      <x:c r="L70" s="9" t="str">
        <x:v>KHÔNG CẢM ỨNG</x:v>
      </x:c>
      <x:c r="M70" s="9" t="str">
        <x:v>Intel Core i7-1185G7 / RAM 16GB / SSD 256GB / Intel Iris Xe Graphics / KHÔNG CẢM ỨNG</x:v>
      </x:c>
      <x:c r="N70" s="9" t="str">
        <x:v>SẴN SÀNG BÁN</x:v>
      </x:c>
      <x:c r="O70" s="11" t="n">
        <x:v>12500000</x:v>
      </x:c>
      <x:c r="P70" s="12" t="n">
        <x:v>46283</x:v>
      </x:c>
      <x:c r="Q70" s="12" t="n">
        <x:v>46283</x:v>
      </x:c>
      <x:c r="R70" s="11" t="n">
        <x:v>24</x:v>
      </x:c>
      <x:c r="S70" s="9" t="str">
        <x:v>MUA/NHẬP HÀNG</x:v>
      </x:c>
      <x:c r="T70" s="10" t="str">
        <x:v>DM-000021</x:v>
      </x:c>
      <x:c r="U70" s="10" t="str">
        <x:v>G8T89K3::1</x:v>
      </x:c>
      <x:c r="V70" s="9" t="str">
        <x:v>Trường số hồ sơ</x:v>
      </x:c>
      <x:c r="W70" s="9" t="str">
        <x:v>Dell Latitude 7420</x:v>
      </x:c>
      <x:c r="X70" s="9" t="str">
        <x:v>Intel Core i7-1185G7 / RAM 16GB / SSD 256GB / Intel Iris Xe Graphics / KHÔNG CẢM ỨNG</x:v>
      </x:c>
      <x:c r="Y70" s="9"/>
      <x:c r="Z70" s="9" t="str">
        <x:v>SERIAL_REGISTRY!A349:AA349</x:v>
      </x:c>
      <x:c r="AA70" s="9" t="str">
        <x:v>EVT-PRICE-23006BDD6056643E5026</x:v>
      </x:c>
      <x:c r="AB70" s="9"/>
      <x:c r="AC70" s="11"/>
      <x:c r="AD70" s="9"/>
    </x:row>
    <x:row r="71" ht="42" customHeight="1">
      <x:c r="A71" s="10" t="str">
        <x:v>5C7ZDK3</x:v>
      </x:c>
      <x:c r="B71" s="9" t="str">
        <x:v>KHỚP DỮ LIỆU</x:v>
      </x:c>
      <x:c r="C71" s="9" t="str">
        <x:v>Dell</x:v>
      </x:c>
      <x:c r="D71" s="9" t="str">
        <x:v>Dell Latitude 7430</x:v>
      </x:c>
      <x:c r="E71" s="10" t="str">
        <x:v>BT-000192</x:v>
      </x:c>
      <x:c r="F71" s="9" t="str">
        <x:v>Dell Latitude 7430 · Intel Core i7-1265U · có cảm ứng · Intel Iris Xe Graphics</x:v>
      </x:c>
      <x:c r="G71" s="9" t="str">
        <x:v>Intel Core i7-1265U</x:v>
      </x:c>
      <x:c r="H71" s="9" t="str">
        <x:v>Intel Core i7-1265U</x:v>
      </x:c>
      <x:c r="I71" s="11" t="n">
        <x:v>32</x:v>
      </x:c>
      <x:c r="J71" s="11" t="n">
        <x:v>256</x:v>
      </x:c>
      <x:c r="K71" s="9" t="str">
        <x:v>Intel Iris Xe Graphics</x:v>
      </x:c>
      <x:c r="L71" s="9" t="str">
        <x:v>CÓ CẢM ỨNG</x:v>
      </x:c>
      <x:c r="M71" s="9" t="str">
        <x:v>Intel Core i7-1265U / RAM 32GB / SSD 256GB / Intel Iris Xe Graphics / CÓ CẢM ỨNG</x:v>
      </x:c>
      <x:c r="N71" s="9" t="str">
        <x:v>SẴN SÀNG BÁN</x:v>
      </x:c>
      <x:c r="O71" s="11" t="n">
        <x:v>15500000</x:v>
      </x:c>
      <x:c r="P71" s="12" t="n">
        <x:v>46283</x:v>
      </x:c>
      <x:c r="Q71" s="12" t="n">
        <x:v>46283</x:v>
      </x:c>
      <x:c r="R71" s="11" t="n">
        <x:v>24</x:v>
      </x:c>
      <x:c r="S71" s="9" t="str">
        <x:v>MUA/NHẬP HÀNG</x:v>
      </x:c>
      <x:c r="T71" s="10" t="str">
        <x:v>DM-000014</x:v>
      </x:c>
      <x:c r="U71" s="10" t="str">
        <x:v>5C7ZDK3::1</x:v>
      </x:c>
      <x:c r="V71" s="9" t="str">
        <x:v>Trường số hồ sơ</x:v>
      </x:c>
      <x:c r="W71" s="9" t="str">
        <x:v>Dell Latitude 7430</x:v>
      </x:c>
      <x:c r="X71" s="9" t="str">
        <x:v>Intel Core i7-1265U / RAM 32GB / SSD 256GB / Intel Iris Xe Graphics / CÓ CẢM ỨNG</x:v>
      </x:c>
      <x:c r="Y71" s="9"/>
      <x:c r="Z71" s="9" t="str">
        <x:v>SERIAL_REGISTRY!A360:AA360</x:v>
      </x:c>
      <x:c r="AA71" s="9" t="str">
        <x:v>EVT-PRICE-219DD2B1C2CB1D855849</x:v>
      </x:c>
      <x:c r="AB71" s="9"/>
      <x:c r="AC71" s="11"/>
      <x:c r="AD71" s="9"/>
    </x:row>
    <x:row r="72" ht="42" customHeight="1">
      <x:c r="A72" s="10" t="str">
        <x:v>BLGXDK3</x:v>
      </x:c>
      <x:c r="B72" s="9" t="str">
        <x:v>KHỚP DỮ LIỆU</x:v>
      </x:c>
      <x:c r="C72" s="9" t="str">
        <x:v>Dell</x:v>
      </x:c>
      <x:c r="D72" s="9" t="str">
        <x:v>Dell Latitude 7430</x:v>
      </x:c>
      <x:c r="E72" s="10" t="str">
        <x:v>BT-000192</x:v>
      </x:c>
      <x:c r="F72" s="9" t="str">
        <x:v>Dell Latitude 7430 · Intel Core i7-1265U · có cảm ứng · Intel Iris Xe Graphics</x:v>
      </x:c>
      <x:c r="G72" s="9" t="str">
        <x:v>Intel Core i7-1265U</x:v>
      </x:c>
      <x:c r="H72" s="9" t="str">
        <x:v>Intel Core i7-1265U</x:v>
      </x:c>
      <x:c r="I72" s="11" t="n">
        <x:v>32</x:v>
      </x:c>
      <x:c r="J72" s="11" t="n">
        <x:v>256</x:v>
      </x:c>
      <x:c r="K72" s="9" t="str">
        <x:v>Intel Iris Xe Graphics</x:v>
      </x:c>
      <x:c r="L72" s="9" t="str">
        <x:v>CÓ CẢM ỨNG</x:v>
      </x:c>
      <x:c r="M72" s="9" t="str">
        <x:v>Intel Core i7-1265U / RAM 32GB / SSD 256GB / Intel Iris Xe Graphics / CÓ CẢM ỨNG</x:v>
      </x:c>
      <x:c r="N72" s="9" t="str">
        <x:v>SẴN SÀNG BÁN</x:v>
      </x:c>
      <x:c r="O72" s="11" t="n">
        <x:v>15500000</x:v>
      </x:c>
      <x:c r="P72" s="12" t="n">
        <x:v>46283</x:v>
      </x:c>
      <x:c r="Q72" s="12" t="n">
        <x:v>46283</x:v>
      </x:c>
      <x:c r="R72" s="11" t="n">
        <x:v>24</x:v>
      </x:c>
      <x:c r="S72" s="9" t="str">
        <x:v>MUA/NHẬP HÀNG</x:v>
      </x:c>
      <x:c r="T72" s="10" t="str">
        <x:v>DM-000014</x:v>
      </x:c>
      <x:c r="U72" s="10" t="str">
        <x:v>BLGXDK3::1</x:v>
      </x:c>
      <x:c r="V72" s="9" t="str">
        <x:v>Trường số hồ sơ</x:v>
      </x:c>
      <x:c r="W72" s="9" t="str">
        <x:v>Dell Latitude 7430</x:v>
      </x:c>
      <x:c r="X72" s="9" t="str">
        <x:v>Intel Core i7-1265U / RAM 32GB / SSD 256GB / Intel Iris Xe Graphics / CÓ CẢM ỨNG</x:v>
      </x:c>
      <x:c r="Y72" s="9"/>
      <x:c r="Z72" s="9" t="str">
        <x:v>SERIAL_REGISTRY!A361:AA361</x:v>
      </x:c>
      <x:c r="AA72" s="9" t="str">
        <x:v>EVT-PRICE-219DD2B1C2CB1D855849</x:v>
      </x:c>
      <x:c r="AB72" s="9"/>
      <x:c r="AC72" s="11"/>
      <x:c r="AD72" s="9"/>
    </x:row>
    <x:row r="73" ht="42" customHeight="1">
      <x:c r="A73" s="10" t="str">
        <x:v>D375VV3</x:v>
      </x:c>
      <x:c r="B73" s="9" t="str">
        <x:v>KHỚP DỮ LIỆU</x:v>
      </x:c>
      <x:c r="C73" s="9" t="str">
        <x:v>Dell</x:v>
      </x:c>
      <x:c r="D73" s="9" t="str">
        <x:v>Dell Latitude 7430</x:v>
      </x:c>
      <x:c r="E73" s="10" t="str">
        <x:v>BT-000192</x:v>
      </x:c>
      <x:c r="F73" s="9" t="str">
        <x:v>Dell Latitude 7430 · Intel Core i7-1265U · có cảm ứng · Intel Iris Xe Graphics</x:v>
      </x:c>
      <x:c r="G73" s="9" t="str">
        <x:v>Intel Core i7-1265U</x:v>
      </x:c>
      <x:c r="H73" s="9" t="str">
        <x:v>Intel Core i7-1265U</x:v>
      </x:c>
      <x:c r="I73" s="11" t="n">
        <x:v>32</x:v>
      </x:c>
      <x:c r="J73" s="11" t="n">
        <x:v>256</x:v>
      </x:c>
      <x:c r="K73" s="9" t="str">
        <x:v>Intel Iris Xe Graphics</x:v>
      </x:c>
      <x:c r="L73" s="9" t="str">
        <x:v>CÓ CẢM ỨNG</x:v>
      </x:c>
      <x:c r="M73" s="9" t="str">
        <x:v>Intel Core i7-1265U / RAM 32GB / SSD 256GB / Intel Iris Xe Graphics / CÓ CẢM ỨNG</x:v>
      </x:c>
      <x:c r="N73" s="9" t="str">
        <x:v>SẴN SÀNG BÁN</x:v>
      </x:c>
      <x:c r="O73" s="11" t="n">
        <x:v>15500000</x:v>
      </x:c>
      <x:c r="P73" s="12" t="n">
        <x:v>46283</x:v>
      </x:c>
      <x:c r="Q73" s="12" t="n">
        <x:v>46283</x:v>
      </x:c>
      <x:c r="R73" s="11" t="n">
        <x:v>24</x:v>
      </x:c>
      <x:c r="S73" s="9" t="str">
        <x:v>MUA/NHẬP HÀNG</x:v>
      </x:c>
      <x:c r="T73" s="10" t="str">
        <x:v>DM-000014</x:v>
      </x:c>
      <x:c r="U73" s="10" t="str">
        <x:v>D375VV3::1</x:v>
      </x:c>
      <x:c r="V73" s="9" t="str">
        <x:v>Trường số hồ sơ</x:v>
      </x:c>
      <x:c r="W73" s="9" t="str">
        <x:v>Dell Latitude 7430</x:v>
      </x:c>
      <x:c r="X73" s="9" t="str">
        <x:v>Intel Core i7-1265U / RAM 32GB / SSD 256GB / Intel Iris Xe Graphics / CÓ CẢM ỨNG</x:v>
      </x:c>
      <x:c r="Y73" s="9"/>
      <x:c r="Z73" s="9" t="str">
        <x:v>SERIAL_REGISTRY!A362:AA362</x:v>
      </x:c>
      <x:c r="AA73" s="9" t="str">
        <x:v>EVT-PRICE-219DD2B1C2CB1D855849</x:v>
      </x:c>
      <x:c r="AB73" s="9"/>
      <x:c r="AC73" s="11"/>
      <x:c r="AD73" s="9"/>
    </x:row>
    <x:row r="74" ht="42" customHeight="1">
      <x:c r="A74" s="10" t="str">
        <x:v>7VMNQK3</x:v>
      </x:c>
      <x:c r="B74" s="9" t="str">
        <x:v>KHỚP DỮ LIỆU</x:v>
      </x:c>
      <x:c r="C74" s="9" t="str">
        <x:v>Dell</x:v>
      </x:c>
      <x:c r="D74" s="9" t="str">
        <x:v>Dell Vostro 5620</x:v>
      </x:c>
      <x:c r="E74" s="10" t="str">
        <x:v>BT-000174</x:v>
      </x:c>
      <x:c r="F74" s="9" t="str">
        <x:v>Dell Vostro 5620 · Core i7 - 1260P · không cảm ứng · Intel Iris Xe Graphics</x:v>
      </x:c>
      <x:c r="G74" s="9" t="str">
        <x:v>Core i7 - 1260P</x:v>
      </x:c>
      <x:c r="H74" s="9" t="str">
        <x:v>Core i7 - 1260P</x:v>
      </x:c>
      <x:c r="I74" s="11" t="n">
        <x:v>16</x:v>
      </x:c>
      <x:c r="J74" s="11" t="n">
        <x:v>512</x:v>
      </x:c>
      <x:c r="K74" s="9" t="str">
        <x:v>Intel Iris Xe Graphics</x:v>
      </x:c>
      <x:c r="L74" s="9" t="str">
        <x:v>KHÔNG CẢM ỨNG</x:v>
      </x:c>
      <x:c r="M74" s="9" t="str">
        <x:v>Core i7 - 1260P / RAM 16GB / SSD 512GB / Intel Iris Xe Graphics / KHÔNG CẢM ỨNG</x:v>
      </x:c>
      <x:c r="N74" s="9" t="str">
        <x:v>SẴN SÀNG BÁN</x:v>
      </x:c>
      <x:c r="O74" s="11" t="n">
        <x:v>15600000</x:v>
      </x:c>
      <x:c r="P74" s="12" t="n">
        <x:v>46281</x:v>
      </x:c>
      <x:c r="Q74" s="12" t="n">
        <x:v>46281</x:v>
      </x:c>
      <x:c r="R74" s="11" t="n">
        <x:v>26</x:v>
      </x:c>
      <x:c r="S74" s="9" t="str">
        <x:v>MUA/NHẬP HÀNG</x:v>
      </x:c>
      <x:c r="T74" s="10" t="str">
        <x:v>DM-000133</x:v>
      </x:c>
      <x:c r="U74" s="10" t="str">
        <x:v>7VMNQK3::1</x:v>
      </x:c>
      <x:c r="V74" s="9" t="str">
        <x:v>Trường số hồ sơ</x:v>
      </x:c>
      <x:c r="W74" s="9" t="str">
        <x:v>Dell Vostro 5620</x:v>
      </x:c>
      <x:c r="X74" s="9" t="str">
        <x:v>Core i7 - 1260P / RAM 16GB / SSD 512GB / Intel Iris Xe Graphics / KHÔNG CẢM ỨNG</x:v>
      </x:c>
      <x:c r="Y74" s="9"/>
      <x:c r="Z74" s="9" t="str">
        <x:v>SERIAL_REGISTRY!A326:AA326</x:v>
      </x:c>
      <x:c r="AA74" s="9" t="str">
        <x:v>EVT-IN-AE3D7359B49B19138DD0</x:v>
      </x:c>
      <x:c r="AB74" s="9"/>
      <x:c r="AC74" s="11"/>
      <x:c r="AD74" s="9"/>
    </x:row>
    <x:row r="75" ht="42" customHeight="1">
      <x:c r="A75" s="10" t="str">
        <x:v>635WKR3</x:v>
      </x:c>
      <x:c r="B75" s="9" t="str">
        <x:v>KHỚP DỮ LIỆU</x:v>
      </x:c>
      <x:c r="C75" s="9" t="str">
        <x:v>Dell</x:v>
      </x:c>
      <x:c r="D75" s="9" t="str">
        <x:v>Dell XPS 9520</x:v>
      </x:c>
      <x:c r="E75" s="10" t="str">
        <x:v>BT-000185</x:v>
      </x:c>
      <x:c r="F75" s="9" t="str">
        <x:v>Dell XPS 9520 · Core i7 - 12700H · không cảm ứng · RTX 3050TI - 4GB</x:v>
      </x:c>
      <x:c r="G75" s="9" t="str">
        <x:v>Core i7 - 12700H</x:v>
      </x:c>
      <x:c r="H75" s="9" t="str">
        <x:v>Core i7 - 12700H</x:v>
      </x:c>
      <x:c r="I75" s="11" t="n">
        <x:v>16</x:v>
      </x:c>
      <x:c r="J75" s="11" t="n">
        <x:v>512</x:v>
      </x:c>
      <x:c r="K75" s="9" t="str">
        <x:v>RTX 3050TI - 4GB</x:v>
      </x:c>
      <x:c r="L75" s="9" t="str">
        <x:v>KHÔNG CẢM ỨNG</x:v>
      </x:c>
      <x:c r="M75" s="9" t="str">
        <x:v>Core i7 - 12700H / RAM 16GB / SSD 512GB / RTX 3050TI - 4GB / 15.6 inch FHD / KHÔNG CẢM ỨNG</x:v>
      </x:c>
      <x:c r="N75" s="9" t="str">
        <x:v>SẴN SÀNG BÁN</x:v>
      </x:c>
      <x:c r="O75" s="11"/>
      <x:c r="P75" s="12" t="n">
        <x:v>46266</x:v>
      </x:c>
      <x:c r="Q75" s="12" t="n">
        <x:v>46280</x:v>
      </x:c>
      <x:c r="R75" s="11" t="n">
        <x:v>27</x:v>
      </x:c>
      <x:c r="S75" s="9" t="str">
        <x:v>MUA/NHẬP HÀNG</x:v>
      </x:c>
      <x:c r="T75" s="10" t="str">
        <x:v>DM-000141</x:v>
      </x:c>
      <x:c r="U75" s="10" t="str">
        <x:v>635WKR3::1</x:v>
      </x:c>
      <x:c r="V75" s="9" t="str">
        <x:v>Trường số hồ sơ</x:v>
      </x:c>
      <x:c r="W75" s="9" t="str">
        <x:v>Dell XPS 9520</x:v>
      </x:c>
      <x:c r="X75" s="9" t="str">
        <x:v>Core i7 - 12700H / RAM 16GB / SSD 512GB / RTX 3050TI - 4GB / 15.6 inch FHD / KHÔNG CẢM ỨNG</x:v>
      </x:c>
      <x:c r="Y75" s="9"/>
      <x:c r="Z75" s="9" t="str">
        <x:v>SERIAL_REGISTRY!A241:AA241</x:v>
      </x:c>
      <x:c r="AA75" s="9" t="str">
        <x:v>EVT-QC-26355650D04A0DA9DE7F</x:v>
      </x:c>
      <x:c r="AB75" s="9"/>
      <x:c r="AC75" s="11"/>
      <x:c r="AD75" s="9"/>
    </x:row>
    <x:row r="76" ht="42" customHeight="1">
      <x:c r="A76" s="10" t="str">
        <x:v>96BBLR3</x:v>
      </x:c>
      <x:c r="B76" s="9" t="str">
        <x:v>KHỚP DỮ LIỆU</x:v>
      </x:c>
      <x:c r="C76" s="9" t="str">
        <x:v>Dell</x:v>
      </x:c>
      <x:c r="D76" s="9" t="str">
        <x:v>Dell XPS 9520</x:v>
      </x:c>
      <x:c r="E76" s="10" t="str">
        <x:v>BT-000185</x:v>
      </x:c>
      <x:c r="F76" s="9" t="str">
        <x:v>Dell XPS 9520 · Core i7 - 12700H · không cảm ứng · RTX 3050TI - 4GB</x:v>
      </x:c>
      <x:c r="G76" s="9" t="str">
        <x:v>Core i7 - 12700H</x:v>
      </x:c>
      <x:c r="H76" s="9" t="str">
        <x:v>Core i7 - 12700H</x:v>
      </x:c>
      <x:c r="I76" s="11" t="n">
        <x:v>16</x:v>
      </x:c>
      <x:c r="J76" s="11" t="n">
        <x:v>512</x:v>
      </x:c>
      <x:c r="K76" s="9" t="str">
        <x:v>RTX 3050TI - 4GB</x:v>
      </x:c>
      <x:c r="L76" s="9" t="str">
        <x:v>KHÔNG CẢM ỨNG</x:v>
      </x:c>
      <x:c r="M76" s="9" t="str">
        <x:v>Core i7 - 12700H / RAM 16GB / SSD 512GB / RTX 3050TI - 4GB / KHÔNG CẢM ỨNG</x:v>
      </x:c>
      <x:c r="N76" s="9" t="str">
        <x:v>SẴN SÀNG BÁN</x:v>
      </x:c>
      <x:c r="O76" s="11" t="n">
        <x:v>22900000</x:v>
      </x:c>
      <x:c r="P76" s="12" t="n">
        <x:v>46280</x:v>
      </x:c>
      <x:c r="Q76" s="12" t="n">
        <x:v>46280</x:v>
      </x:c>
      <x:c r="R76" s="11" t="n">
        <x:v>27</x:v>
      </x:c>
      <x:c r="S76" s="9" t="str">
        <x:v>MUA/NHẬP HÀNG</x:v>
      </x:c>
      <x:c r="T76" s="10" t="str">
        <x:v>DM-000141</x:v>
      </x:c>
      <x:c r="U76" s="10" t="str">
        <x:v>96BBLR3::1</x:v>
      </x:c>
      <x:c r="V76" s="9" t="str">
        <x:v>Trường số hồ sơ</x:v>
      </x:c>
      <x:c r="W76" s="9" t="str">
        <x:v>XPS 9520</x:v>
      </x:c>
      <x:c r="X76" s="9" t="str">
        <x:v>Core i7 - 12700H / RAM 16GB / SSD 512GB / RTX 3050TI - 4GB / KHÔNG CẢM ỨNG</x:v>
      </x:c>
      <x:c r="Y76" s="9"/>
      <x:c r="Z76" s="9" t="str">
        <x:v>SERIAL_REGISTRY!A320:AA320</x:v>
      </x:c>
      <x:c r="AA76" s="9" t="str">
        <x:v>EVT-IN-AAB046153D2A202FE201</x:v>
      </x:c>
      <x:c r="AB76" s="9"/>
      <x:c r="AC76" s="11"/>
      <x:c r="AD76" s="9"/>
    </x:row>
    <x:row r="77" ht="42" customHeight="1">
      <x:c r="A77" s="10" t="str">
        <x:v>FTSVKR3</x:v>
      </x:c>
      <x:c r="B77" s="9" t="str">
        <x:v>KHỚP DỮ LIỆU</x:v>
      </x:c>
      <x:c r="C77" s="9" t="str">
        <x:v>Dell</x:v>
      </x:c>
      <x:c r="D77" s="9" t="str">
        <x:v>Dell XPS 9520</x:v>
      </x:c>
      <x:c r="E77" s="10" t="str">
        <x:v>BT-000185</x:v>
      </x:c>
      <x:c r="F77" s="9" t="str">
        <x:v>Dell XPS 9520 · Core i7 - 12700H · không cảm ứng · RTX 3050TI - 4GB</x:v>
      </x:c>
      <x:c r="G77" s="9" t="str">
        <x:v>Core i7 - 12700H</x:v>
      </x:c>
      <x:c r="H77" s="9" t="str">
        <x:v>Core i7 - 12700H</x:v>
      </x:c>
      <x:c r="I77" s="11" t="n">
        <x:v>16</x:v>
      </x:c>
      <x:c r="J77" s="11" t="n">
        <x:v>512</x:v>
      </x:c>
      <x:c r="K77" s="9" t="str">
        <x:v>RTX 3050TI - 4GB</x:v>
      </x:c>
      <x:c r="L77" s="9" t="str">
        <x:v>KHÔNG CẢM ỨNG</x:v>
      </x:c>
      <x:c r="M77" s="9" t="str">
        <x:v>Core i7 - 12700H / RAM 16GB / SSD 512GB / RTX 3050TI - 4GB / KHÔNG CẢM ỨNG</x:v>
      </x:c>
      <x:c r="N77" s="9" t="str">
        <x:v>SẴN SÀNG BÁN</x:v>
      </x:c>
      <x:c r="O77" s="11" t="n">
        <x:v>22900000</x:v>
      </x:c>
      <x:c r="P77" s="12" t="n">
        <x:v>46280</x:v>
      </x:c>
      <x:c r="Q77" s="12" t="n">
        <x:v>46280</x:v>
      </x:c>
      <x:c r="R77" s="11" t="n">
        <x:v>27</x:v>
      </x:c>
      <x:c r="S77" s="9" t="str">
        <x:v>MUA/NHẬP HÀNG</x:v>
      </x:c>
      <x:c r="T77" s="10" t="str">
        <x:v>DM-000141</x:v>
      </x:c>
      <x:c r="U77" s="10" t="str">
        <x:v>FTSVKR3::1</x:v>
      </x:c>
      <x:c r="V77" s="9" t="str">
        <x:v>Trường số hồ sơ</x:v>
      </x:c>
      <x:c r="W77" s="9" t="str">
        <x:v>Dell XPS 9520</x:v>
      </x:c>
      <x:c r="X77" s="9" t="str">
        <x:v>Core i7 - 12700H / RAM 16GB / SSD 512GB / RTX 3050TI - 4GB / KHÔNG CẢM ỨNG</x:v>
      </x:c>
      <x:c r="Y77" s="9"/>
      <x:c r="Z77" s="9" t="str">
        <x:v>SERIAL_REGISTRY!A318:AA318</x:v>
      </x:c>
      <x:c r="AA77" s="9" t="str">
        <x:v>EVT-IN-3172441DF1DF47BEE51F</x:v>
      </x:c>
      <x:c r="AB77" s="9"/>
      <x:c r="AC77" s="11"/>
      <x:c r="AD77" s="9"/>
    </x:row>
    <x:row r="78" ht="42" customHeight="1">
      <x:c r="A78" s="10" t="str">
        <x:v>5CG141252T</x:v>
      </x:c>
      <x:c r="B78" s="9" t="str">
        <x:v>THIẾU THÔNG SỐ</x:v>
      </x:c>
      <x:c r="C78" s="9" t="str">
        <x:v>HP</x:v>
      </x:c>
      <x:c r="D78" s="9" t="str">
        <x:v>HP Elitebook 830 G8</x:v>
      </x:c>
      <x:c r="E78" s="10" t="str">
        <x:v>BT-000086</x:v>
      </x:c>
      <x:c r="F78" s="9" t="str">
        <x:v>HP Elitebook 830 G8 · Core I7- 1185G7 · KHÔNG CẢM ỨNG · LAPTOP THƯỜNG</x:v>
      </x:c>
      <x:c r="G78" s="9" t="str">
        <x:v>Core I7- 1185G7</x:v>
      </x:c>
      <x:c r="H78" s="9" t="str">
        <x:v>Core I7- 1185G7</x:v>
      </x:c>
      <x:c r="I78" s="11"/>
      <x:c r="J78" s="11"/>
      <x:c r="K78" s="9"/>
      <x:c r="L78" s="9" t="str">
        <x:v>KHÔNG CẢM ỨNG</x:v>
      </x:c>
      <x:c r="M78" s="9" t="str">
        <x:v>Core I7- 1185G7 · KHÔNG CẢM ỨNG · LAPTOP THƯỜNG · 13.3 FHD</x:v>
      </x:c>
      <x:c r="N78" s="9" t="str">
        <x:v>SẴN SÀNG BÁN</x:v>
      </x:c>
      <x:c r="O78" s="11" t="n">
        <x:v>10700000</x:v>
      </x:c>
      <x:c r="P78" s="12" t="n">
        <x:v>46243</x:v>
      </x:c>
      <x:c r="Q78" s="12" t="n">
        <x:v>46248</x:v>
      </x:c>
      <x:c r="R78" s="11" t="n">
        <x:v>59</x:v>
      </x:c>
      <x:c r="S78" s="9" t="str">
        <x:v>MUA/NHẬP HÀNG</x:v>
      </x:c>
      <x:c r="T78" s="10" t="str">
        <x:v>DM-000066</x:v>
      </x:c>
      <x:c r="U78" s="10" t="str">
        <x:v>5CG141252T::1</x:v>
      </x:c>
      <x:c r="V78" s="9" t="str">
        <x:v>Thiếu</x:v>
      </x:c>
      <x:c r="W78" s="9" t="str">
        <x:v>HP Elitebook 830 G8</x:v>
      </x:c>
      <x:c r="X78" s="9" t="str">
        <x:v>Core i7-1185G7 / Ram 8GB / SSD 256GB / 13.3"  FHD</x:v>
      </x:c>
      <x:c r="Y78" s="9" t="str">
        <x:v>Chưa có RAM theo serial; Chưa có SSD theo serial; Chưa có GPU theo serial</x:v>
      </x:c>
      <x:c r="Z78" s="9" t="str">
        <x:v>SERIAL_REGISTRY!A176:AA176</x:v>
      </x:c>
      <x:c r="AA78" s="9" t="str">
        <x:v>EVT-PRICE-C5D339EF345753A957A0</x:v>
      </x:c>
      <x:c r="AB78" s="9"/>
      <x:c r="AC78" s="11"/>
      <x:c r="AD78" s="9"/>
    </x:row>
    <x:row r="79" ht="42" customHeight="1">
      <x:c r="A79" s="10" t="str">
        <x:v>5CD221GW65</x:v>
      </x:c>
      <x:c r="B79" s="9" t="str">
        <x:v>KHỚP DỮ LIỆU</x:v>
      </x:c>
      <x:c r="C79" s="9" t="str">
        <x:v>HP</x:v>
      </x:c>
      <x:c r="D79" s="9" t="str">
        <x:v>HP Pavilion DV2033TU</x:v>
      </x:c>
      <x:c r="E79" s="10" t="str">
        <x:v>BT-000186</x:v>
      </x:c>
      <x:c r="F79" s="9" t="str">
        <x:v>HP Pavilion DV2033TU · Core i5-1235U · không cảm ứng · Intel Iris Xe Graphics</x:v>
      </x:c>
      <x:c r="G79" s="9" t="str">
        <x:v>Core i5-1235U</x:v>
      </x:c>
      <x:c r="H79" s="9" t="str">
        <x:v>Core i5-1235U</x:v>
      </x:c>
      <x:c r="I79" s="11" t="n">
        <x:v>8</x:v>
      </x:c>
      <x:c r="J79" s="11" t="n">
        <x:v>512</x:v>
      </x:c>
      <x:c r="K79" s="9" t="str">
        <x:v>Intel Iris Xe Graphics</x:v>
      </x:c>
      <x:c r="L79" s="9" t="str">
        <x:v>KHÔNG CẢM ỨNG</x:v>
      </x:c>
      <x:c r="M79" s="9" t="str">
        <x:v>Core i5-1235U / RAM 8GB / SSD 512GB / Intel Iris Xe Graphics / KHÔNG CẢM ỨNG</x:v>
      </x:c>
      <x:c r="N79" s="9" t="str">
        <x:v>SẴN SÀNG BÁN</x:v>
      </x:c>
      <x:c r="O79" s="11" t="n">
        <x:v>9900000</x:v>
      </x:c>
      <x:c r="P79" s="12" t="n">
        <x:v>46280</x:v>
      </x:c>
      <x:c r="Q79" s="12" t="n">
        <x:v>46280</x:v>
      </x:c>
      <x:c r="R79" s="11" t="n">
        <x:v>27</x:v>
      </x:c>
      <x:c r="S79" s="9" t="str">
        <x:v>MUA/NHẬP HÀNG</x:v>
      </x:c>
      <x:c r="T79" s="10" t="str">
        <x:v>DM-000142</x:v>
      </x:c>
      <x:c r="U79" s="10" t="str">
        <x:v>5CD221GW65::1</x:v>
      </x:c>
      <x:c r="V79" s="9" t="str">
        <x:v>Trường số hồ sơ</x:v>
      </x:c>
      <x:c r="W79" s="9" t="str">
        <x:v>Pavilion 14 - DV2033TU</x:v>
      </x:c>
      <x:c r="X79" s="9" t="str">
        <x:v>Core i5-1235U / RAM 8GB / SSD 512GB / Intel Iris Xe Graphics / KHÔNG CẢM ỨNG</x:v>
      </x:c>
      <x:c r="Y79" s="9"/>
      <x:c r="Z79" s="9" t="str">
        <x:v>SERIAL_REGISTRY!A319:AA319</x:v>
      </x:c>
      <x:c r="AA79" s="9" t="str">
        <x:v>EVT-IN-FDD34ACD6BEDC058ED29</x:v>
      </x:c>
      <x:c r="AB79" s="9"/>
      <x:c r="AC79" s="11"/>
      <x:c r="AD79" s="9"/>
    </x:row>
    <x:row r="80" ht="42" customHeight="1">
      <x:c r="A80" s="10" t="str">
        <x:v>5CD147FSBT</x:v>
      </x:c>
      <x:c r="B80" s="9" t="str">
        <x:v>KHỚP DỮ LIỆU</x:v>
      </x:c>
      <x:c r="C80" s="9" t="str">
        <x:v>HP</x:v>
      </x:c>
      <x:c r="D80" s="9" t="str">
        <x:v>HP ProBook 450 G8</x:v>
      </x:c>
      <x:c r="E80" s="10" t="str">
        <x:v>BT-000210</x:v>
      </x:c>
      <x:c r="F80" s="9" t="str">
        <x:v>HP ProBook 450 G8 · Core I3-1115G4 · không cảm ứng · Intel UHD Graphics</x:v>
      </x:c>
      <x:c r="G80" s="9" t="str">
        <x:v>Core I3-1115G4</x:v>
      </x:c>
      <x:c r="H80" s="9" t="str">
        <x:v>Core I3-1115G4</x:v>
      </x:c>
      <x:c r="I80" s="11" t="n">
        <x:v>8</x:v>
      </x:c>
      <x:c r="J80" s="11" t="n">
        <x:v>256</x:v>
      </x:c>
      <x:c r="K80" s="9" t="str">
        <x:v>Intel UHD Graphics</x:v>
      </x:c>
      <x:c r="L80" s="9" t="str">
        <x:v>KHÔNG CẢM ỨNG</x:v>
      </x:c>
      <x:c r="M80" s="9" t="str">
        <x:v>Core I3-1115G4 / RAM 8GB / SSD 256GB / Intel UHD Graphics / KHÔNG CẢM ỨNG</x:v>
      </x:c>
      <x:c r="N80" s="9" t="str">
        <x:v>SẴN SÀNG BÁN</x:v>
      </x:c>
      <x:c r="O80" s="11"/>
      <x:c r="P80" s="12" t="n">
        <x:v>46295</x:v>
      </x:c>
      <x:c r="Q80" s="12" t="n">
        <x:v>46295</x:v>
      </x:c>
      <x:c r="R80" s="11" t="n">
        <x:v>12</x:v>
      </x:c>
      <x:c r="S80" s="9" t="str">
        <x:v>MUA/NHẬP HÀNG</x:v>
      </x:c>
      <x:c r="T80" s="10" t="str">
        <x:v>DM-000161</x:v>
      </x:c>
      <x:c r="U80" s="10" t="str">
        <x:v>5CD147FSBT::1</x:v>
      </x:c>
      <x:c r="V80" s="9" t="str">
        <x:v>Trường số hồ sơ</x:v>
      </x:c>
      <x:c r="W80" s="9" t="str">
        <x:v>ProBook 450 G8</x:v>
      </x:c>
      <x:c r="X80" s="9" t="str">
        <x:v>Core I3-1115G4 / RAM 8GB / SSD 256GB / Intel UHD Graphics / KHÔNG CẢM ỨNG</x:v>
      </x:c>
      <x:c r="Y80" s="9"/>
      <x:c r="Z80" s="9" t="str">
        <x:v>SERIAL_REGISTRY!A403:AA403</x:v>
      </x:c>
      <x:c r="AA80" s="9" t="str">
        <x:v>EVT-IN-E0513C201BD3BA2382A2</x:v>
      </x:c>
      <x:c r="AB80" s="9"/>
      <x:c r="AC80" s="11"/>
      <x:c r="AD80" s="9"/>
    </x:row>
    <x:row r="81" ht="42" customHeight="1">
      <x:c r="A81" s="10" t="str">
        <x:v>5CG146B50W</x:v>
      </x:c>
      <x:c r="B81" s="9" t="str">
        <x:v>KHỚP DỮ LIỆU</x:v>
      </x:c>
      <x:c r="C81" s="9" t="str">
        <x:v>HP</x:v>
      </x:c>
      <x:c r="D81" s="9" t="str">
        <x:v>HP ProBook x360 435 G8</x:v>
      </x:c>
      <x:c r="E81" s="10" t="str">
        <x:v>BT-000036</x:v>
      </x:c>
      <x:c r="F81" s="9" t="str">
        <x:v>HP ProBook x360 435 G8 · Ryzen 7 5800U · 2-in-1 · cảm ứng</x:v>
      </x:c>
      <x:c r="G81" s="9" t="str">
        <x:v>AMD Ryzen 7 5800U</x:v>
      </x:c>
      <x:c r="H81" s="9" t="str">
        <x:v>Ryzen 7 - 5800U</x:v>
      </x:c>
      <x:c r="I81" s="11" t="n">
        <x:v>16</x:v>
      </x:c>
      <x:c r="J81" s="11" t="n">
        <x:v>256</x:v>
      </x:c>
      <x:c r="K81" s="9" t="str">
        <x:v>AMD Radeon Graphics</x:v>
      </x:c>
      <x:c r="L81" s="9" t="str">
        <x:v>CÓ CẢM ỨNG</x:v>
      </x:c>
      <x:c r="M81" s="9" t="str">
        <x:v>Ryzen 7 - 5800U / RAM 16GB / SSD 256GB / 13.3" FHD</x:v>
      </x:c>
      <x:c r="N81" s="9" t="str">
        <x:v>SẴN SÀNG BÁN</x:v>
      </x:c>
      <x:c r="O81" s="11" t="n">
        <x:v>10500000</x:v>
      </x:c>
      <x:c r="P81" s="12" t="n">
        <x:v>46233</x:v>
      </x:c>
      <x:c r="Q81" s="12" t="n">
        <x:v>46233</x:v>
      </x:c>
      <x:c r="R81" s="11" t="n">
        <x:v>74</x:v>
      </x:c>
      <x:c r="S81" s="9" t="str">
        <x:v>SỐ DƯ ĐẦU KỲ</x:v>
      </x:c>
      <x:c r="T81" s="10" t="str">
        <x:v>DM-000028</x:v>
      </x:c>
      <x:c r="U81" s="10" t="str">
        <x:v>5CG146B50W::1</x:v>
      </x:c>
      <x:c r="V81" s="9" t="str">
        <x:v>Tách từ cấu hình theo serial</x:v>
      </x:c>
      <x:c r="W81" s="9" t="str">
        <x:v>HP ProBook x360 435 G8</x:v>
      </x:c>
      <x:c r="X81" s="9" t="str">
        <x:v>Ryzen 7 - 5800U / RAM 16GB / SSD 256GB / 13.3" FHD</x:v>
      </x:c>
      <x:c r="Y81" s="9"/>
      <x:c r="Z81" s="9" t="str">
        <x:v>SERIAL_REGISTRY!A3:AA3</x:v>
      </x:c>
      <x:c r="AA81" s="9" t="str">
        <x:v>EVT-PRICE-7241EDF3D6BCE14A875D</x:v>
      </x:c>
      <x:c r="AB81" s="9"/>
      <x:c r="AC81" s="11"/>
      <x:c r="AD81" s="9"/>
    </x:row>
    <x:row r="82" ht="42" customHeight="1">
      <x:c r="A82" s="10" t="str">
        <x:v>5CG146B52T</x:v>
      </x:c>
      <x:c r="B82" s="9" t="str">
        <x:v>KHỚP DỮ LIỆU</x:v>
      </x:c>
      <x:c r="C82" s="9" t="str">
        <x:v>HP</x:v>
      </x:c>
      <x:c r="D82" s="9" t="str">
        <x:v>HP ProBook x360 435 G8</x:v>
      </x:c>
      <x:c r="E82" s="10" t="str">
        <x:v>BT-000036</x:v>
      </x:c>
      <x:c r="F82" s="9" t="str">
        <x:v>HP ProBook x360 435 G8 · Ryzen 7 5800U · 2-in-1 · cảm ứng</x:v>
      </x:c>
      <x:c r="G82" s="9" t="str">
        <x:v>AMD Ryzen 7 5800U</x:v>
      </x:c>
      <x:c r="H82" s="9" t="str">
        <x:v>Ryzen 7 - 5800U</x:v>
      </x:c>
      <x:c r="I82" s="11" t="n">
        <x:v>16</x:v>
      </x:c>
      <x:c r="J82" s="11" t="n">
        <x:v>256</x:v>
      </x:c>
      <x:c r="K82" s="9" t="str">
        <x:v>AMD Radeon Graphics</x:v>
      </x:c>
      <x:c r="L82" s="9" t="str">
        <x:v>CÓ CẢM ỨNG</x:v>
      </x:c>
      <x:c r="M82" s="9" t="str">
        <x:v>Ryzen 7 - 5800U / RAM 16GB / SSD 256GB / 13.3" FHD</x:v>
      </x:c>
      <x:c r="N82" s="9" t="str">
        <x:v>SẴN SÀNG BÁN</x:v>
      </x:c>
      <x:c r="O82" s="11" t="n">
        <x:v>10500000</x:v>
      </x:c>
      <x:c r="P82" s="12" t="n">
        <x:v>46234</x:v>
      </x:c>
      <x:c r="Q82" s="12" t="n">
        <x:v>46234</x:v>
      </x:c>
      <x:c r="R82" s="11" t="n">
        <x:v>73</x:v>
      </x:c>
      <x:c r="S82" s="9" t="str">
        <x:v>SỐ DƯ ĐẦU KỲ</x:v>
      </x:c>
      <x:c r="T82" s="10" t="str">
        <x:v>DM-000028</x:v>
      </x:c>
      <x:c r="U82" s="10" t="str">
        <x:v>5CG146B52T::1</x:v>
      </x:c>
      <x:c r="V82" s="9" t="str">
        <x:v>Tách từ cấu hình theo serial</x:v>
      </x:c>
      <x:c r="W82" s="9" t="str">
        <x:v>HP ProBook x360 435 G8</x:v>
      </x:c>
      <x:c r="X82" s="9" t="str">
        <x:v>Ryzen 7 - 5800U / RAM 16GB / SSD 256GB / 13.3" FHD</x:v>
      </x:c>
      <x:c r="Y82" s="9"/>
      <x:c r="Z82" s="9" t="str">
        <x:v>SERIAL_REGISTRY!A83:AA83</x:v>
      </x:c>
      <x:c r="AA82" s="9" t="str">
        <x:v>EVT-PRICE-7241EDF3D6BCE14A875D</x:v>
      </x:c>
      <x:c r="AB82" s="9"/>
      <x:c r="AC82" s="11"/>
      <x:c r="AD82" s="9"/>
    </x:row>
    <x:row r="83" ht="42" customHeight="1">
      <x:c r="A83" s="10" t="str">
        <x:v>CND0534MLS</x:v>
      </x:c>
      <x:c r="B83" s="9" t="str">
        <x:v>KHỚP DỮ LIỆU</x:v>
      </x:c>
      <x:c r="C83" s="9" t="str">
        <x:v>HP</x:v>
      </x:c>
      <x:c r="D83" s="9" t="str">
        <x:v>HP ZBook Studio 15 G7</x:v>
      </x:c>
      <x:c r="E83" s="10" t="str">
        <x:v>BT-000157</x:v>
      </x:c>
      <x:c r="F83" s="9" t="str">
        <x:v>HP ZBook Studio 15 G7 · Intel Core i7-10850H · không cảm ứng · NVIDIA Quadro T1000 4GB</x:v>
      </x:c>
      <x:c r="G83" s="9" t="str">
        <x:v>Intel Core i7-10850H</x:v>
      </x:c>
      <x:c r="H83" s="9" t="str">
        <x:v>Intel Core i7-10850H</x:v>
      </x:c>
      <x:c r="I83" s="11" t="n">
        <x:v>32</x:v>
      </x:c>
      <x:c r="J83" s="11" t="n">
        <x:v>512</x:v>
      </x:c>
      <x:c r="K83" s="9" t="str">
        <x:v>NVIDIA Quadro T1000 4GB</x:v>
      </x:c>
      <x:c r="L83" s="9" t="str">
        <x:v>KHÔNG CẢM ỨNG</x:v>
      </x:c>
      <x:c r="M83" s="9" t="str">
        <x:v>Intel Core i7-10850H / RAM 32GB / SSD 512GB / NVIDIA Quadro T1000 4GB / KHÔNG CẢM ỨNG</x:v>
      </x:c>
      <x:c r="N83" s="9" t="str">
        <x:v>SẴN SÀNG BÁN</x:v>
      </x:c>
      <x:c r="O83" s="11" t="n">
        <x:v>14900000</x:v>
      </x:c>
      <x:c r="P83" s="12" t="n">
        <x:v>46296</x:v>
      </x:c>
      <x:c r="Q83" s="12" t="n">
        <x:v>46296</x:v>
      </x:c>
      <x:c r="R83" s="11" t="n">
        <x:v>11</x:v>
      </x:c>
      <x:c r="S83" s="9" t="str">
        <x:v>MUA/NHẬP HÀNG</x:v>
      </x:c>
      <x:c r="T83" s="10" t="str">
        <x:v>DM-000124</x:v>
      </x:c>
      <x:c r="U83" s="10" t="str">
        <x:v>CND0534MLS::1</x:v>
      </x:c>
      <x:c r="V83" s="9" t="str">
        <x:v>Trường số hồ sơ</x:v>
      </x:c>
      <x:c r="W83" s="9" t="str">
        <x:v>Zbook Studio 15 G7</x:v>
      </x:c>
      <x:c r="X83" s="9" t="str">
        <x:v>Intel Core i7-10850H / RAM 32GB / SSD 512GB / NVIDIA Quadro T1000 4GB / KHÔNG CẢM ỨNG</x:v>
      </x:c>
      <x:c r="Y83" s="9"/>
      <x:c r="Z83" s="9" t="str">
        <x:v>SERIAL_REGISTRY!A422:AA422</x:v>
      </x:c>
      <x:c r="AA83" s="9" t="str">
        <x:v>EVT-ADMIN-040EE68BE5B59547D340</x:v>
      </x:c>
      <x:c r="AB83" s="9"/>
      <x:c r="AC83" s="11"/>
      <x:c r="AD83" s="9"/>
    </x:row>
    <x:row r="84" ht="42" customHeight="1">
      <x:c r="A84" s="10" t="str">
        <x:v>CND0534MNC</x:v>
      </x:c>
      <x:c r="B84" s="9" t="str">
        <x:v>KHỚP DỮ LIỆU</x:v>
      </x:c>
      <x:c r="C84" s="9" t="str">
        <x:v>HP</x:v>
      </x:c>
      <x:c r="D84" s="9" t="str">
        <x:v>HP ZBook Studio 15 G7</x:v>
      </x:c>
      <x:c r="E84" s="10" t="str">
        <x:v>BT-000157</x:v>
      </x:c>
      <x:c r="F84" s="9" t="str">
        <x:v>HP ZBook Studio 15 G7 · Intel Core i7-10850H · không cảm ứng · NVIDIA Quadro T1000 4GB</x:v>
      </x:c>
      <x:c r="G84" s="9" t="str">
        <x:v>Intel Core i7-10850H</x:v>
      </x:c>
      <x:c r="H84" s="9" t="str">
        <x:v>Intel Core i7-10850H</x:v>
      </x:c>
      <x:c r="I84" s="11" t="n">
        <x:v>32</x:v>
      </x:c>
      <x:c r="J84" s="11" t="n">
        <x:v>512</x:v>
      </x:c>
      <x:c r="K84" s="9" t="str">
        <x:v>NVIDIA Quadro T1000 4GB</x:v>
      </x:c>
      <x:c r="L84" s="9" t="str">
        <x:v>KHÔNG CẢM ỨNG</x:v>
      </x:c>
      <x:c r="M84" s="9" t="str">
        <x:v>Intel Core i7-10850H / RAM 32GB / SSD 512GB / NVIDIA Quadro T1000 4GB / KHÔNG CẢM ỨNG</x:v>
      </x:c>
      <x:c r="N84" s="9" t="str">
        <x:v>SẴN SÀNG BÁN</x:v>
      </x:c>
      <x:c r="O84" s="11" t="n">
        <x:v>14900000</x:v>
      </x:c>
      <x:c r="P84" s="12" t="n">
        <x:v>46296</x:v>
      </x:c>
      <x:c r="Q84" s="12" t="n">
        <x:v>46296</x:v>
      </x:c>
      <x:c r="R84" s="11" t="n">
        <x:v>11</x:v>
      </x:c>
      <x:c r="S84" s="9" t="str">
        <x:v>MUA/NHẬP HÀNG</x:v>
      </x:c>
      <x:c r="T84" s="10" t="str">
        <x:v>DM-000124</x:v>
      </x:c>
      <x:c r="U84" s="10" t="str">
        <x:v>CND0534MNC::1</x:v>
      </x:c>
      <x:c r="V84" s="9" t="str">
        <x:v>Trường số hồ sơ</x:v>
      </x:c>
      <x:c r="W84" s="9" t="str">
        <x:v>Zbook Studio 15 G7</x:v>
      </x:c>
      <x:c r="X84" s="9" t="str">
        <x:v>Intel Core i7-10850H / RAM 32GB / SSD 512GB / NVIDIA Quadro T1000 4GB / KHÔNG CẢM ỨNG</x:v>
      </x:c>
      <x:c r="Y84" s="9"/>
      <x:c r="Z84" s="9" t="str">
        <x:v>SERIAL_REGISTRY!A423:AA423</x:v>
      </x:c>
      <x:c r="AA84" s="9" t="str">
        <x:v>EVT-ADMIN-3A7A4DCC5C853609AA16</x:v>
      </x:c>
      <x:c r="AB84" s="9"/>
      <x:c r="AC84" s="11"/>
      <x:c r="AD84" s="9"/>
    </x:row>
    <x:row r="85" ht="42" customHeight="1">
      <x:c r="A85" s="10" t="str">
        <x:v>MP2SATYL</x:v>
      </x:c>
      <x:c r="B85" s="9" t="str">
        <x:v>KHỚP DỮ LIỆU</x:v>
      </x:c>
      <x:c r="C85" s="9" t="str">
        <x:v>Lenovo</x:v>
      </x:c>
      <x:c r="D85" s="9" t="str">
        <x:v>Lenovo LOQ 15IRX9</x:v>
      </x:c>
      <x:c r="E85" s="10" t="str">
        <x:v>BT-000175</x:v>
      </x:c>
      <x:c r="F85" s="9" t="str">
        <x:v>Lenovo LOQ 15IRX9 · Intel Core i7-13650HX · không cảm ứng · NVIDIA RTX 4050 6GB</x:v>
      </x:c>
      <x:c r="G85" s="9" t="str">
        <x:v>Intel Core i7-13650HX</x:v>
      </x:c>
      <x:c r="H85" s="9" t="str">
        <x:v>Intel Core i7-13650HX</x:v>
      </x:c>
      <x:c r="I85" s="11" t="n">
        <x:v>16</x:v>
      </x:c>
      <x:c r="J85" s="11" t="n">
        <x:v>512</x:v>
      </x:c>
      <x:c r="K85" s="9" t="str">
        <x:v>NVIDIA RTX 4050 6GB</x:v>
      </x:c>
      <x:c r="L85" s="9" t="str">
        <x:v>KHÔNG CẢM ỨNG</x:v>
      </x:c>
      <x:c r="M85" s="9" t="str">
        <x:v>Intel Core i7-13650HX / RAM 16GB / SSD 512GB / NVIDIA RTX 4050 6GB / KHÔNG CẢM ỨNG</x:v>
      </x:c>
      <x:c r="N85" s="9" t="str">
        <x:v>SẴN SÀNG BÁN</x:v>
      </x:c>
      <x:c r="O85" s="11" t="n">
        <x:v>28500000</x:v>
      </x:c>
      <x:c r="P85" s="12" t="n">
        <x:v>46274</x:v>
      </x:c>
      <x:c r="Q85" s="12" t="n">
        <x:v>46274</x:v>
      </x:c>
      <x:c r="R85" s="11" t="n">
        <x:v>33</x:v>
      </x:c>
      <x:c r="S85" s="9" t="str">
        <x:v>MUA/NHẬP HÀNG</x:v>
      </x:c>
      <x:c r="T85" s="10" t="str">
        <x:v>DM-000134</x:v>
      </x:c>
      <x:c r="U85" s="10" t="str">
        <x:v>MP2SATYL::1</x:v>
      </x:c>
      <x:c r="V85" s="9" t="str">
        <x:v>Trường số hồ sơ</x:v>
      </x:c>
      <x:c r="W85" s="9" t="str">
        <x:v>Lenovo LOQ 15IRX9</x:v>
      </x:c>
      <x:c r="X85" s="9" t="str">
        <x:v>Intel Core i7-13650HX / RAM 16GB / SSD 512GB / NVIDIA RTX 4050 6GB / KHÔNG CẢM ỨNG</x:v>
      </x:c>
      <x:c r="Y85" s="9"/>
      <x:c r="Z85" s="9" t="str">
        <x:v>SERIAL_REGISTRY!A283:AA283</x:v>
      </x:c>
      <x:c r="AA85" s="9" t="str">
        <x:v>EVT-PRICE-5529ABE14C923108FC0B</x:v>
      </x:c>
      <x:c r="AB85" s="9"/>
      <x:c r="AC85" s="11"/>
      <x:c r="AD85" s="9"/>
    </x:row>
    <x:row r="86" ht="42" customHeight="1">
      <x:c r="A86" s="10" t="str">
        <x:v>MP2N5X2S</x:v>
      </x:c>
      <x:c r="B86" s="9" t="str">
        <x:v>KHỚP DỮ LIỆU</x:v>
      </x:c>
      <x:c r="C86" s="9" t="str">
        <x:v>Lenovo</x:v>
      </x:c>
      <x:c r="D86" s="9" t="str">
        <x:v>Lenovo LOQ Gaming 15IRX9</x:v>
      </x:c>
      <x:c r="E86" s="10" t="str">
        <x:v>BT-000231</x:v>
      </x:c>
      <x:c r="F86" s="9" t="str">
        <x:v>Lenovo LOQ Gaming 15IRX9 · Core i5-12450HX · không cảm ứng · RTX 2050 4GB</x:v>
      </x:c>
      <x:c r="G86" s="9" t="str">
        <x:v>Core i5-12450HX</x:v>
      </x:c>
      <x:c r="H86" s="9" t="str">
        <x:v>Core i5-12450HX</x:v>
      </x:c>
      <x:c r="I86" s="11" t="n">
        <x:v>12</x:v>
      </x:c>
      <x:c r="J86" s="11" t="n">
        <x:v>512</x:v>
      </x:c>
      <x:c r="K86" s="9" t="str">
        <x:v>RTX 2050 4GB</x:v>
      </x:c>
      <x:c r="L86" s="9" t="str">
        <x:v>KHÔNG CẢM ỨNG</x:v>
      </x:c>
      <x:c r="M86" s="9" t="str">
        <x:v>Core i5-12450HX / RAM 12GB / SSD 512GB / RTX 2050 4GB / KHÔNG CẢM ỨNG</x:v>
      </x:c>
      <x:c r="N86" s="9" t="str">
        <x:v>SẴN SÀNG BÁN</x:v>
      </x:c>
      <x:c r="O86" s="11" t="n">
        <x:v>15600000</x:v>
      </x:c>
      <x:c r="P86" s="12" t="n">
        <x:v>46307</x:v>
      </x:c>
      <x:c r="Q86" s="12" t="n">
        <x:v>46307</x:v>
      </x:c>
      <x:c r="R86" s="11" t="n">
        <x:v>0</x:v>
      </x:c>
      <x:c r="S86" s="9" t="str">
        <x:v>THU MÁY KHÁCH</x:v>
      </x:c>
      <x:c r="T86" s="10" t="str">
        <x:v>DM-000178</x:v>
      </x:c>
      <x:c r="U86" s="10" t="str">
        <x:v>MP2N5X2S::1</x:v>
      </x:c>
      <x:c r="V86" s="9" t="str">
        <x:v>Trường số hồ sơ</x:v>
      </x:c>
      <x:c r="W86" s="9" t="str">
        <x:v>Lenovo LOQ Gaming 15IRX9</x:v>
      </x:c>
      <x:c r="X86" s="9" t="str">
        <x:v>Core i5-12450HX / RAM 12GB / SSD 512GB / RTX 2050 4GB / KHÔNG CẢM ỨNG</x:v>
      </x:c>
      <x:c r="Y86" s="9"/>
      <x:c r="Z86" s="9" t="str">
        <x:v>SERIAL_REGISTRY!A447:AA447</x:v>
      </x:c>
      <x:c r="AA86" s="9" t="str">
        <x:v>EVT-IN-D10A24415540C8E2C255</x:v>
      </x:c>
      <x:c r="AB86" s="9" t="str">
        <x:v>SHOP</x:v>
      </x:c>
      <x:c r="AC86" s="11" t="n">
        <x:v>6</x:v>
      </x:c>
      <x:c r="AD86" s="9"/>
    </x:row>
    <x:row r="87" ht="42" customHeight="1">
      <x:c r="A87" s="10" t="str">
        <x:v>PF3C922D</x:v>
      </x:c>
      <x:c r="B87" s="9" t="str">
        <x:v>KHỚP DỮ LIỆU</x:v>
      </x:c>
      <x:c r="C87" s="9" t="str">
        <x:v>Lenovo</x:v>
      </x:c>
      <x:c r="D87" s="9" t="str">
        <x:v>Lenovo ThinkPad P14s Gen 2</x:v>
      </x:c>
      <x:c r="E87" s="10" t="str">
        <x:v>BT-000193</x:v>
      </x:c>
      <x:c r="F87" s="9" t="str">
        <x:v>Lenovo ThinkPad P14s Gen 2 · Ryzen 5 Pro 5650U · không cảm ứng · AMD Radeon Graphics</x:v>
      </x:c>
      <x:c r="G87" s="9" t="str">
        <x:v>Ryzen 5 Pro 5650U</x:v>
      </x:c>
      <x:c r="H87" s="9" t="str">
        <x:v>Ryzen 5 Pro 5650U</x:v>
      </x:c>
      <x:c r="I87" s="11" t="n">
        <x:v>16</x:v>
      </x:c>
      <x:c r="J87" s="11" t="n">
        <x:v>256</x:v>
      </x:c>
      <x:c r="K87" s="9" t="str">
        <x:v>AMD Radeon Graphics</x:v>
      </x:c>
      <x:c r="L87" s="9" t="str">
        <x:v>KHÔNG CẢM ỨNG</x:v>
      </x:c>
      <x:c r="M87" s="9" t="str">
        <x:v>Ryzen 5 Pro 5650U / RAM 16GB / SSD 256GB / AMD Radeon Graphics / KHÔNG CẢM ỨNG</x:v>
      </x:c>
      <x:c r="N87" s="9" t="str">
        <x:v>SẴN SÀNG BÁN</x:v>
      </x:c>
      <x:c r="O87" s="11" t="n">
        <x:v>10900000</x:v>
      </x:c>
      <x:c r="P87" s="12" t="n">
        <x:v>46283</x:v>
      </x:c>
      <x:c r="Q87" s="12" t="n">
        <x:v>46283</x:v>
      </x:c>
      <x:c r="R87" s="11" t="n">
        <x:v>24</x:v>
      </x:c>
      <x:c r="S87" s="9" t="str">
        <x:v>MUA/NHẬP HÀNG</x:v>
      </x:c>
      <x:c r="T87" s="10" t="str">
        <x:v>DM-000147</x:v>
      </x:c>
      <x:c r="U87" s="10" t="str">
        <x:v>PF3C922D::1</x:v>
      </x:c>
      <x:c r="V87" s="9" t="str">
        <x:v>Trường số hồ sơ</x:v>
      </x:c>
      <x:c r="W87" s="9" t="str">
        <x:v>Lenovo ThinkPad P14s Gen 2</x:v>
      </x:c>
      <x:c r="X87" s="9" t="str">
        <x:v>Ryzen 5 Pro 5650U / RAM 16GB / SSD 256GB / AMD Radeon Graphics / KHÔNG CẢM ỨNG</x:v>
      </x:c>
      <x:c r="Y87" s="9"/>
      <x:c r="Z87" s="9" t="str">
        <x:v>SERIAL_REGISTRY!A381:AA381</x:v>
      </x:c>
      <x:c r="AA87" s="9" t="str">
        <x:v>EVT-PRICE-8F28E4B8B41433758FD9</x:v>
      </x:c>
      <x:c r="AB87" s="9"/>
      <x:c r="AC87" s="11"/>
      <x:c r="AD87" s="9"/>
    </x:row>
    <x:row r="88" ht="42" customHeight="1">
      <x:c r="A88" s="10" t="str">
        <x:v>PF3CQSYD</x:v>
      </x:c>
      <x:c r="B88" s="9" t="str">
        <x:v>KHỚP DỮ LIỆU</x:v>
      </x:c>
      <x:c r="C88" s="9" t="str">
        <x:v>Lenovo</x:v>
      </x:c>
      <x:c r="D88" s="9" t="str">
        <x:v>Lenovo ThinkPad P14s Gen 2</x:v>
      </x:c>
      <x:c r="E88" s="10" t="str">
        <x:v>BT-000193</x:v>
      </x:c>
      <x:c r="F88" s="9" t="str">
        <x:v>Lenovo ThinkPad P14s Gen 2 · Ryzen 5 Pro 5650U · không cảm ứng · AMD Radeon Graphics</x:v>
      </x:c>
      <x:c r="G88" s="9" t="str">
        <x:v>Ryzen 5 Pro 5650U</x:v>
      </x:c>
      <x:c r="H88" s="9" t="str">
        <x:v>Ryzen 5 Pro 5650U</x:v>
      </x:c>
      <x:c r="I88" s="11" t="n">
        <x:v>16</x:v>
      </x:c>
      <x:c r="J88" s="11" t="n">
        <x:v>256</x:v>
      </x:c>
      <x:c r="K88" s="9" t="str">
        <x:v>AMD Radeon Graphics</x:v>
      </x:c>
      <x:c r="L88" s="9" t="str">
        <x:v>KHÔNG CẢM ỨNG</x:v>
      </x:c>
      <x:c r="M88" s="9" t="str">
        <x:v>Ryzen 5 Pro 5650U / RAM 16GB / SSD 256GB / AMD Radeon Graphics / KHÔNG CẢM ỨNG</x:v>
      </x:c>
      <x:c r="N88" s="9" t="str">
        <x:v>SẴN SÀNG BÁN</x:v>
      </x:c>
      <x:c r="O88" s="11" t="n">
        <x:v>10900000</x:v>
      </x:c>
      <x:c r="P88" s="12" t="n">
        <x:v>46283</x:v>
      </x:c>
      <x:c r="Q88" s="12" t="n">
        <x:v>46283</x:v>
      </x:c>
      <x:c r="R88" s="11" t="n">
        <x:v>24</x:v>
      </x:c>
      <x:c r="S88" s="9" t="str">
        <x:v>MUA/NHẬP HÀNG</x:v>
      </x:c>
      <x:c r="T88" s="10" t="str">
        <x:v>DM-000147</x:v>
      </x:c>
      <x:c r="U88" s="10" t="str">
        <x:v>PF3CQSYD::1</x:v>
      </x:c>
      <x:c r="V88" s="9" t="str">
        <x:v>Trường số hồ sơ</x:v>
      </x:c>
      <x:c r="W88" s="9" t="str">
        <x:v>Lenovo ThinkPad P14s Gen 2</x:v>
      </x:c>
      <x:c r="X88" s="9" t="str">
        <x:v>Ryzen 5 Pro 5650U / RAM 16GB / SSD 256GB / AMD Radeon Graphics / KHÔNG CẢM ỨNG</x:v>
      </x:c>
      <x:c r="Y88" s="9"/>
      <x:c r="Z88" s="9" t="str">
        <x:v>SERIAL_REGISTRY!A380:AA380</x:v>
      </x:c>
      <x:c r="AA88" s="9" t="str">
        <x:v>EVT-PRICE-8F28E4B8B41433758FD9</x:v>
      </x:c>
      <x:c r="AB88" s="9"/>
      <x:c r="AC88" s="11"/>
      <x:c r="AD88" s="9"/>
    </x:row>
    <x:row r="89" ht="42" customHeight="1">
      <x:c r="A89" s="10" t="str">
        <x:v>PF3V4KMG</x:v>
      </x:c>
      <x:c r="B89" s="9" t="str">
        <x:v>KHỚP DỮ LIỆU</x:v>
      </x:c>
      <x:c r="C89" s="9" t="str">
        <x:v>Lenovo</x:v>
      </x:c>
      <x:c r="D89" s="9" t="str">
        <x:v>Lenovo ThinkPad P14s Gen 2</x:v>
      </x:c>
      <x:c r="E89" s="10" t="str">
        <x:v>BT-000193</x:v>
      </x:c>
      <x:c r="F89" s="9" t="str">
        <x:v>Lenovo ThinkPad P14s Gen 2 · Ryzen 5 Pro 5650U · không cảm ứng · AMD Radeon Graphics</x:v>
      </x:c>
      <x:c r="G89" s="9" t="str">
        <x:v>Ryzen 5 Pro 5650U</x:v>
      </x:c>
      <x:c r="H89" s="9" t="str">
        <x:v>Ryzen 5 Pro 5650U</x:v>
      </x:c>
      <x:c r="I89" s="11" t="n">
        <x:v>16</x:v>
      </x:c>
      <x:c r="J89" s="11" t="n">
        <x:v>256</x:v>
      </x:c>
      <x:c r="K89" s="9" t="str">
        <x:v>AMD Radeon Graphics</x:v>
      </x:c>
      <x:c r="L89" s="9" t="str">
        <x:v>KHÔNG CẢM ỨNG</x:v>
      </x:c>
      <x:c r="M89" s="9" t="str">
        <x:v>Ryzen 5 Pro 5650U / RAM 16GB / SSD 256GB / AMD Radeon Graphics / KHÔNG CẢM ỨNG</x:v>
      </x:c>
      <x:c r="N89" s="9" t="str">
        <x:v>SẴN SÀNG BÁN</x:v>
      </x:c>
      <x:c r="O89" s="11" t="n">
        <x:v>10900000</x:v>
      </x:c>
      <x:c r="P89" s="12" t="n">
        <x:v>46283</x:v>
      </x:c>
      <x:c r="Q89" s="12" t="n">
        <x:v>46283</x:v>
      </x:c>
      <x:c r="R89" s="11" t="n">
        <x:v>24</x:v>
      </x:c>
      <x:c r="S89" s="9" t="str">
        <x:v>MUA/NHẬP HÀNG</x:v>
      </x:c>
      <x:c r="T89" s="10" t="str">
        <x:v>DM-000147</x:v>
      </x:c>
      <x:c r="U89" s="10" t="str">
        <x:v>PF3V4KMG::1</x:v>
      </x:c>
      <x:c r="V89" s="9" t="str">
        <x:v>Trường số hồ sơ</x:v>
      </x:c>
      <x:c r="W89" s="9" t="str">
        <x:v>Lenovo ThinkPad P14s Gen 2</x:v>
      </x:c>
      <x:c r="X89" s="9" t="str">
        <x:v>Ryzen 5 Pro 5650U / RAM 16GB / SSD 256GB / AMD Radeon Graphics / KHÔNG CẢM ỨNG</x:v>
      </x:c>
      <x:c r="Y89" s="9"/>
      <x:c r="Z89" s="9" t="str">
        <x:v>SERIAL_REGISTRY!A378:AA378</x:v>
      </x:c>
      <x:c r="AA89" s="9" t="str">
        <x:v>EVT-PRICE-8F28E4B8B41433758FD9</x:v>
      </x:c>
      <x:c r="AB89" s="9"/>
      <x:c r="AC89" s="11"/>
      <x:c r="AD89" s="9"/>
    </x:row>
    <x:row r="90" ht="42" customHeight="1">
      <x:c r="A90" s="10" t="str">
        <x:v>PF3V7VJ5</x:v>
      </x:c>
      <x:c r="B90" s="9" t="str">
        <x:v>KHỚP DỮ LIỆU</x:v>
      </x:c>
      <x:c r="C90" s="9" t="str">
        <x:v>Lenovo</x:v>
      </x:c>
      <x:c r="D90" s="9" t="str">
        <x:v>Lenovo ThinkPad P14s Gen 2</x:v>
      </x:c>
      <x:c r="E90" s="10" t="str">
        <x:v>BT-000193</x:v>
      </x:c>
      <x:c r="F90" s="9" t="str">
        <x:v>Lenovo ThinkPad P14s Gen 2 · Ryzen 5 Pro 5650U · không cảm ứng · AMD Radeon Graphics</x:v>
      </x:c>
      <x:c r="G90" s="9" t="str">
        <x:v>Ryzen 5 Pro 5650U</x:v>
      </x:c>
      <x:c r="H90" s="9" t="str">
        <x:v>Ryzen 5 Pro 5650U</x:v>
      </x:c>
      <x:c r="I90" s="11" t="n">
        <x:v>16</x:v>
      </x:c>
      <x:c r="J90" s="11" t="n">
        <x:v>256</x:v>
      </x:c>
      <x:c r="K90" s="9" t="str">
        <x:v>AMD Radeon Graphics</x:v>
      </x:c>
      <x:c r="L90" s="9" t="str">
        <x:v>KHÔNG CẢM ỨNG</x:v>
      </x:c>
      <x:c r="M90" s="9" t="str">
        <x:v>Ryzen 5 Pro 5650U / RAM 16GB / SSD 256GB / AMD Radeon Graphics / KHÔNG CẢM ỨNG</x:v>
      </x:c>
      <x:c r="N90" s="9" t="str">
        <x:v>SẴN SÀNG BÁN</x:v>
      </x:c>
      <x:c r="O90" s="11" t="n">
        <x:v>10900000</x:v>
      </x:c>
      <x:c r="P90" s="12" t="n">
        <x:v>46283</x:v>
      </x:c>
      <x:c r="Q90" s="12" t="n">
        <x:v>46283</x:v>
      </x:c>
      <x:c r="R90" s="11" t="n">
        <x:v>24</x:v>
      </x:c>
      <x:c r="S90" s="9" t="str">
        <x:v>MUA/NHẬP HÀNG</x:v>
      </x:c>
      <x:c r="T90" s="10" t="str">
        <x:v>DM-000147</x:v>
      </x:c>
      <x:c r="U90" s="10" t="str">
        <x:v>PF3V7VJ5::1</x:v>
      </x:c>
      <x:c r="V90" s="9" t="str">
        <x:v>Trường số hồ sơ</x:v>
      </x:c>
      <x:c r="W90" s="9" t="str">
        <x:v>Lenovo ThinkPad P14s Gen 2</x:v>
      </x:c>
      <x:c r="X90" s="9" t="str">
        <x:v>Ryzen 5 Pro 5650U / RAM 16GB / SSD 256GB / AMD Radeon Graphics / KHÔNG CẢM ỨNG</x:v>
      </x:c>
      <x:c r="Y90" s="9"/>
      <x:c r="Z90" s="9" t="str">
        <x:v>SERIAL_REGISTRY!A382:AA382</x:v>
      </x:c>
      <x:c r="AA90" s="9" t="str">
        <x:v>EVT-PRICE-8F28E4B8B41433758FD9</x:v>
      </x:c>
      <x:c r="AB90" s="9"/>
      <x:c r="AC90" s="11"/>
      <x:c r="AD90" s="9"/>
    </x:row>
    <x:row r="91" ht="42" customHeight="1">
      <x:c r="A91" s="10" t="str">
        <x:v>PF3V8FA9</x:v>
      </x:c>
      <x:c r="B91" s="9" t="str">
        <x:v>KHỚP DỮ LIỆU</x:v>
      </x:c>
      <x:c r="C91" s="9" t="str">
        <x:v>Lenovo</x:v>
      </x:c>
      <x:c r="D91" s="9" t="str">
        <x:v>Lenovo ThinkPad P14s Gen 2</x:v>
      </x:c>
      <x:c r="E91" s="10" t="str">
        <x:v>BT-000193</x:v>
      </x:c>
      <x:c r="F91" s="9" t="str">
        <x:v>Lenovo ThinkPad P14s Gen 2 · Ryzen 5 Pro 5650U · không cảm ứng · AMD Radeon Graphics</x:v>
      </x:c>
      <x:c r="G91" s="9" t="str">
        <x:v>Ryzen 5 Pro 5650U</x:v>
      </x:c>
      <x:c r="H91" s="9" t="str">
        <x:v>Ryzen 5 Pro 5650U</x:v>
      </x:c>
      <x:c r="I91" s="11" t="n">
        <x:v>16</x:v>
      </x:c>
      <x:c r="J91" s="11" t="n">
        <x:v>256</x:v>
      </x:c>
      <x:c r="K91" s="9" t="str">
        <x:v>AMD Radeon Graphics</x:v>
      </x:c>
      <x:c r="L91" s="9" t="str">
        <x:v>KHÔNG CẢM ỨNG</x:v>
      </x:c>
      <x:c r="M91" s="9" t="str">
        <x:v>Ryzen 5 Pro 5650U / RAM 16GB / SSD 256GB / AMD Radeon Graphics / KHÔNG CẢM ỨNG</x:v>
      </x:c>
      <x:c r="N91" s="9" t="str">
        <x:v>SẴN SÀNG BÁN</x:v>
      </x:c>
      <x:c r="O91" s="11" t="n">
        <x:v>10900000</x:v>
      </x:c>
      <x:c r="P91" s="12" t="n">
        <x:v>46283</x:v>
      </x:c>
      <x:c r="Q91" s="12" t="n">
        <x:v>46283</x:v>
      </x:c>
      <x:c r="R91" s="11" t="n">
        <x:v>24</x:v>
      </x:c>
      <x:c r="S91" s="9" t="str">
        <x:v>MUA/NHẬP HÀNG</x:v>
      </x:c>
      <x:c r="T91" s="10" t="str">
        <x:v>DM-000147</x:v>
      </x:c>
      <x:c r="U91" s="10" t="str">
        <x:v>PF3V8FA9::1</x:v>
      </x:c>
      <x:c r="V91" s="9" t="str">
        <x:v>Trường số hồ sơ</x:v>
      </x:c>
      <x:c r="W91" s="9" t="str">
        <x:v>Lenovo ThinkPad P14s Gen 2</x:v>
      </x:c>
      <x:c r="X91" s="9" t="str">
        <x:v>Ryzen 5 Pro 5650U / RAM 16GB / SSD 256GB / AMD Radeon Graphics / KHÔNG CẢM ỨNG</x:v>
      </x:c>
      <x:c r="Y91" s="9"/>
      <x:c r="Z91" s="9" t="str">
        <x:v>SERIAL_REGISTRY!A384:AA384</x:v>
      </x:c>
      <x:c r="AA91" s="9" t="str">
        <x:v>EVT-PRICE-8F28E4B8B41433758FD9</x:v>
      </x:c>
      <x:c r="AB91" s="9"/>
      <x:c r="AC91" s="11"/>
      <x:c r="AD91" s="9"/>
    </x:row>
    <x:row r="92" ht="42" customHeight="1">
      <x:c r="A92" s="10" t="str">
        <x:v>PF3VFMP4</x:v>
      </x:c>
      <x:c r="B92" s="9" t="str">
        <x:v>KHỚP DỮ LIỆU</x:v>
      </x:c>
      <x:c r="C92" s="9" t="str">
        <x:v>Lenovo</x:v>
      </x:c>
      <x:c r="D92" s="9" t="str">
        <x:v>Lenovo ThinkPad P14s Gen 2</x:v>
      </x:c>
      <x:c r="E92" s="10" t="str">
        <x:v>BT-000193</x:v>
      </x:c>
      <x:c r="F92" s="9" t="str">
        <x:v>Lenovo ThinkPad P14s Gen 2 · Ryzen 5 Pro 5650U · không cảm ứng · AMD Radeon Graphics</x:v>
      </x:c>
      <x:c r="G92" s="9" t="str">
        <x:v>Ryzen 5 Pro 5650U</x:v>
      </x:c>
      <x:c r="H92" s="9" t="str">
        <x:v>Ryzen 5 Pro 5650U</x:v>
      </x:c>
      <x:c r="I92" s="11" t="n">
        <x:v>16</x:v>
      </x:c>
      <x:c r="J92" s="11" t="n">
        <x:v>256</x:v>
      </x:c>
      <x:c r="K92" s="9" t="str">
        <x:v>AMD Radeon Graphics</x:v>
      </x:c>
      <x:c r="L92" s="9" t="str">
        <x:v>KHÔNG CẢM ỨNG</x:v>
      </x:c>
      <x:c r="M92" s="9" t="str">
        <x:v>Ryzen 5 Pro 5650U / RAM 16GB / SSD 256GB / AMD Radeon Graphics / KHÔNG CẢM ỨNG</x:v>
      </x:c>
      <x:c r="N92" s="9" t="str">
        <x:v>SẴN SÀNG BÁN</x:v>
      </x:c>
      <x:c r="O92" s="11" t="n">
        <x:v>10900000</x:v>
      </x:c>
      <x:c r="P92" s="12" t="n">
        <x:v>46283</x:v>
      </x:c>
      <x:c r="Q92" s="12" t="n">
        <x:v>46283</x:v>
      </x:c>
      <x:c r="R92" s="11" t="n">
        <x:v>24</x:v>
      </x:c>
      <x:c r="S92" s="9" t="str">
        <x:v>MUA/NHẬP HÀNG</x:v>
      </x:c>
      <x:c r="T92" s="10" t="str">
        <x:v>DM-000147</x:v>
      </x:c>
      <x:c r="U92" s="10" t="str">
        <x:v>PF3VFMP4::1</x:v>
      </x:c>
      <x:c r="V92" s="9" t="str">
        <x:v>Trường số hồ sơ</x:v>
      </x:c>
      <x:c r="W92" s="9" t="str">
        <x:v>Lenovo ThinkPad P14s Gen 2</x:v>
      </x:c>
      <x:c r="X92" s="9" t="str">
        <x:v>Ryzen 5 Pro 5650U / RAM 16GB / SSD 256GB / AMD Radeon Graphics / KHÔNG CẢM ỨNG</x:v>
      </x:c>
      <x:c r="Y92" s="9"/>
      <x:c r="Z92" s="9" t="str">
        <x:v>SERIAL_REGISTRY!A379:AA379</x:v>
      </x:c>
      <x:c r="AA92" s="9" t="str">
        <x:v>EVT-PRICE-8F28E4B8B41433758FD9</x:v>
      </x:c>
      <x:c r="AB92" s="9"/>
      <x:c r="AC92" s="11"/>
      <x:c r="AD92" s="9"/>
    </x:row>
    <x:row r="93" ht="42" customHeight="1">
      <x:c r="A93" s="10" t="str">
        <x:v>PF3VFNBA</x:v>
      </x:c>
      <x:c r="B93" s="9" t="str">
        <x:v>KHỚP DỮ LIỆU</x:v>
      </x:c>
      <x:c r="C93" s="9" t="str">
        <x:v>Lenovo</x:v>
      </x:c>
      <x:c r="D93" s="9" t="str">
        <x:v>Lenovo ThinkPad P14s Gen 2</x:v>
      </x:c>
      <x:c r="E93" s="10" t="str">
        <x:v>BT-000193</x:v>
      </x:c>
      <x:c r="F93" s="9" t="str">
        <x:v>Lenovo ThinkPad P14s Gen 2 · Ryzen 5 Pro 5650U · không cảm ứng · AMD Radeon Graphics</x:v>
      </x:c>
      <x:c r="G93" s="9" t="str">
        <x:v>Ryzen 5 Pro 5650U</x:v>
      </x:c>
      <x:c r="H93" s="9" t="str">
        <x:v>Ryzen 5 Pro 5650U</x:v>
      </x:c>
      <x:c r="I93" s="11" t="n">
        <x:v>16</x:v>
      </x:c>
      <x:c r="J93" s="11" t="n">
        <x:v>256</x:v>
      </x:c>
      <x:c r="K93" s="9" t="str">
        <x:v>AMD Radeon Graphics</x:v>
      </x:c>
      <x:c r="L93" s="9" t="str">
        <x:v>KHÔNG CẢM ỨNG</x:v>
      </x:c>
      <x:c r="M93" s="9" t="str">
        <x:v>Ryzen 5 Pro 5650U / RAM 16GB / SSD 256GB / AMD Radeon Graphics / KHÔNG CẢM ỨNG</x:v>
      </x:c>
      <x:c r="N93" s="9" t="str">
        <x:v>SẴN SÀNG BÁN</x:v>
      </x:c>
      <x:c r="O93" s="11" t="n">
        <x:v>10900000</x:v>
      </x:c>
      <x:c r="P93" s="12" t="n">
        <x:v>46283</x:v>
      </x:c>
      <x:c r="Q93" s="12" t="n">
        <x:v>46283</x:v>
      </x:c>
      <x:c r="R93" s="11" t="n">
        <x:v>24</x:v>
      </x:c>
      <x:c r="S93" s="9" t="str">
        <x:v>MUA/NHẬP HÀNG</x:v>
      </x:c>
      <x:c r="T93" s="10" t="str">
        <x:v>DM-000147</x:v>
      </x:c>
      <x:c r="U93" s="10" t="str">
        <x:v>PF3VFNBA::1</x:v>
      </x:c>
      <x:c r="V93" s="9" t="str">
        <x:v>Trường số hồ sơ</x:v>
      </x:c>
      <x:c r="W93" s="9" t="str">
        <x:v>Lenovo ThinkPad P14s Gen 2</x:v>
      </x:c>
      <x:c r="X93" s="9" t="str">
        <x:v>Ryzen 5 Pro 5650U / RAM 16GB / SSD 256GB / AMD Radeon Graphics / KHÔNG CẢM ỨNG</x:v>
      </x:c>
      <x:c r="Y93" s="9"/>
      <x:c r="Z93" s="9" t="str">
        <x:v>SERIAL_REGISTRY!A383:AA383</x:v>
      </x:c>
      <x:c r="AA93" s="9" t="str">
        <x:v>EVT-PRICE-8F28E4B8B41433758FD9</x:v>
      </x:c>
      <x:c r="AB93" s="9"/>
      <x:c r="AC93" s="11"/>
      <x:c r="AD93" s="9"/>
    </x:row>
    <x:row r="94" ht="42" customHeight="1">
      <x:c r="A94" s="10" t="str">
        <x:v>PF4EZ5FD</x:v>
      </x:c>
      <x:c r="B94" s="9" t="str">
        <x:v>THIẾU THÔNG SỐ</x:v>
      </x:c>
      <x:c r="C94" s="9" t="str">
        <x:v>Lenovo</x:v>
      </x:c>
      <x:c r="D94" s="9" t="str">
        <x:v>Lenovo ThinkPad T14 Gen 3</x:v>
      </x:c>
      <x:c r="E94" s="10" t="str">
        <x:v>BT-000077</x:v>
      </x:c>
      <x:c r="F94" s="9" t="str">
        <x:v>Lenovo ThinkPad T14 Gen 3 · Core i7 - 1270P · KHÔNG CẢM ỨNG · LAPTOP THƯỜNG</x:v>
      </x:c>
      <x:c r="G94" s="9" t="str">
        <x:v>Core i7 - 1270P</x:v>
      </x:c>
      <x:c r="H94" s="9" t="str">
        <x:v>Core i7 - 1270P</x:v>
      </x:c>
      <x:c r="I94" s="11"/>
      <x:c r="J94" s="11"/>
      <x:c r="K94" s="9"/>
      <x:c r="L94" s="9" t="str">
        <x:v>KHÔNG CẢM ỨNG</x:v>
      </x:c>
      <x:c r="M94" s="9" t="str">
        <x:v>Core i7 - 1270P · KHÔNG CẢM ỨNG · LAPTOP THƯỜNG · 14" FHD+</x:v>
      </x:c>
      <x:c r="N94" s="9" t="str">
        <x:v>SẴN SÀNG BÁN</x:v>
      </x:c>
      <x:c r="O94" s="11" t="n">
        <x:v>18900000</x:v>
      </x:c>
      <x:c r="P94" s="12" t="n">
        <x:v>46238</x:v>
      </x:c>
      <x:c r="Q94" s="12" t="n">
        <x:v>46263</x:v>
      </x:c>
      <x:c r="R94" s="11" t="n">
        <x:v>44</x:v>
      </x:c>
      <x:c r="S94" s="9" t="str">
        <x:v>MUA/NHẬP HÀNG</x:v>
      </x:c>
      <x:c r="T94" s="10" t="str">
        <x:v>DM-000059</x:v>
      </x:c>
      <x:c r="U94" s="10" t="str">
        <x:v>PF4EZ5FD::1</x:v>
      </x:c>
      <x:c r="V94" s="9" t="str">
        <x:v>Thiếu</x:v>
      </x:c>
      <x:c r="W94" s="9" t="str">
        <x:v>Lenovo ThinkPad T14 Gen 3</x:v>
      </x:c>
      <x:c r="X94" s="9" t="str">
        <x:v>Gen 3 Core i7 - 1270P / Ram 32GB / SSD 512GB / 14" FHD+</x:v>
      </x:c>
      <x:c r="Y94" s="9" t="str">
        <x:v>Chưa có RAM theo serial; Chưa có SSD theo serial; Chưa có GPU theo serial</x:v>
      </x:c>
      <x:c r="Z94" s="9" t="str">
        <x:v>SERIAL_REGISTRY!A150:AA150</x:v>
      </x:c>
      <x:c r="AA94" s="9" t="str">
        <x:v>EVT-PRICE-36496D065C4CA9B1ECF7</x:v>
      </x:c>
      <x:c r="AB94" s="9"/>
      <x:c r="AC94" s="11"/>
      <x:c r="AD94" s="9"/>
    </x:row>
    <x:row r="95" ht="42" customHeight="1">
      <x:c r="A95" s="10" t="str">
        <x:v>PF4ERF9G</x:v>
      </x:c>
      <x:c r="B95" s="9" t="str">
        <x:v>THIẾU THÔNG SỐ</x:v>
      </x:c>
      <x:c r="C95" s="9" t="str">
        <x:v>Lenovo</x:v>
      </x:c>
      <x:c r="D95" s="9" t="str">
        <x:v>Lenovo ThinkPad T14 Gen 3</x:v>
      </x:c>
      <x:c r="E95" s="10" t="str">
        <x:v>BT-000078</x:v>
      </x:c>
      <x:c r="F95" s="9" t="str">
        <x:v>Lenovo ThinkPad T14 Gen 3 · Core i7 - 1270P · CÓ CẢM ỨNG · LAPTOP THƯỜNG</x:v>
      </x:c>
      <x:c r="G95" s="9" t="str">
        <x:v>Core i7 - 1270P</x:v>
      </x:c>
      <x:c r="H95" s="9" t="str">
        <x:v>Gen 3 Core i7 - 1270P</x:v>
      </x:c>
      <x:c r="I95" s="11" t="n">
        <x:v>32</x:v>
      </x:c>
      <x:c r="J95" s="11" t="n">
        <x:v>512</x:v>
      </x:c>
      <x:c r="K95" s="9"/>
      <x:c r="L95" s="9" t="str">
        <x:v>CÓ CẢM ỨNG</x:v>
      </x:c>
      <x:c r="M95" s="9" t="str">
        <x:v>Gen 3 Core i7 - 1270P / Ram 32GB / SSD 512GB / 14" FHD+</x:v>
      </x:c>
      <x:c r="N95" s="9" t="str">
        <x:v>SẴN SÀNG BÁN</x:v>
      </x:c>
      <x:c r="O95" s="11" t="n">
        <x:v>18900000</x:v>
      </x:c>
      <x:c r="P95" s="12" t="n">
        <x:v>46238</x:v>
      </x:c>
      <x:c r="Q95" s="12" t="n">
        <x:v>46238</x:v>
      </x:c>
      <x:c r="R95" s="11" t="n">
        <x:v>69</x:v>
      </x:c>
      <x:c r="S95" s="9" t="str">
        <x:v>MUA/NHẬP HÀNG</x:v>
      </x:c>
      <x:c r="T95" s="10" t="str">
        <x:v>DM-000059</x:v>
      </x:c>
      <x:c r="U95" s="10" t="str">
        <x:v>PF4ERF9G::1</x:v>
      </x:c>
      <x:c r="V95" s="9" t="str">
        <x:v>Tách từ cấu hình theo serial</x:v>
      </x:c>
      <x:c r="W95" s="9" t="str">
        <x:v>Lenovo ThinkPad T14 Gen 3</x:v>
      </x:c>
      <x:c r="X95" s="9" t="str">
        <x:v>Gen 3 Core i7 - 1270P / Ram 32GB / SSD 512GB / 14" FHD+</x:v>
      </x:c>
      <x:c r="Y95" s="9" t="str">
        <x:v>Chưa có GPU theo serial</x:v>
      </x:c>
      <x:c r="Z95" s="9" t="str">
        <x:v>SERIAL_REGISTRY!A149:AA149</x:v>
      </x:c>
      <x:c r="AA95" s="9" t="str">
        <x:v>EVT-PRICE-92936509D0F9AC245C7E</x:v>
      </x:c>
      <x:c r="AB95" s="9"/>
      <x:c r="AC95" s="11"/>
      <x:c r="AD95" s="9"/>
    </x:row>
    <x:row r="96" ht="42" customHeight="1">
      <x:c r="A96" s="10" t="str">
        <x:v>PF4EYX90</x:v>
      </x:c>
      <x:c r="B96" s="9" t="str">
        <x:v>THIẾU THÔNG SỐ</x:v>
      </x:c>
      <x:c r="C96" s="9" t="str">
        <x:v>Lenovo</x:v>
      </x:c>
      <x:c r="D96" s="9" t="str">
        <x:v>Lenovo ThinkPad T14 Gen 3</x:v>
      </x:c>
      <x:c r="E96" s="10" t="str">
        <x:v>BT-000078</x:v>
      </x:c>
      <x:c r="F96" s="9" t="str">
        <x:v>Lenovo ThinkPad T14 Gen 3 · Core i7 - 1270P · CÓ CẢM ỨNG · LAPTOP THƯỜNG</x:v>
      </x:c>
      <x:c r="G96" s="9" t="str">
        <x:v>Core i7 - 1270P</x:v>
      </x:c>
      <x:c r="H96" s="9" t="str">
        <x:v>Gen 3 Core i7 - 1270P</x:v>
      </x:c>
      <x:c r="I96" s="11" t="n">
        <x:v>32</x:v>
      </x:c>
      <x:c r="J96" s="11" t="n">
        <x:v>512</x:v>
      </x:c>
      <x:c r="K96" s="9"/>
      <x:c r="L96" s="9" t="str">
        <x:v>CÓ CẢM ỨNG</x:v>
      </x:c>
      <x:c r="M96" s="9" t="str">
        <x:v>Gen 3 Core i7 - 1270P / Ram 32GB / SSD 512GB / 14" FHD+</x:v>
      </x:c>
      <x:c r="N96" s="9" t="str">
        <x:v>SẴN SÀNG BÁN</x:v>
      </x:c>
      <x:c r="O96" s="11" t="n">
        <x:v>18900000</x:v>
      </x:c>
      <x:c r="P96" s="12" t="n">
        <x:v>46238</x:v>
      </x:c>
      <x:c r="Q96" s="12" t="n">
        <x:v>46238</x:v>
      </x:c>
      <x:c r="R96" s="11" t="n">
        <x:v>69</x:v>
      </x:c>
      <x:c r="S96" s="9" t="str">
        <x:v>MUA/NHẬP HÀNG</x:v>
      </x:c>
      <x:c r="T96" s="10" t="str">
        <x:v>DM-000059</x:v>
      </x:c>
      <x:c r="U96" s="10" t="str">
        <x:v>PF4EYX90::1</x:v>
      </x:c>
      <x:c r="V96" s="9" t="str">
        <x:v>Tách từ cấu hình theo serial</x:v>
      </x:c>
      <x:c r="W96" s="9" t="str">
        <x:v>Lenovo ThinkPad T14 Gen 3</x:v>
      </x:c>
      <x:c r="X96" s="9" t="str">
        <x:v>Gen 3 Core i7 - 1270P / Ram 32GB / SSD 512GB / 14" FHD+</x:v>
      </x:c>
      <x:c r="Y96" s="9" t="str">
        <x:v>Chưa có GPU theo serial</x:v>
      </x:c>
      <x:c r="Z96" s="9" t="str">
        <x:v>SERIAL_REGISTRY!A148:AA148</x:v>
      </x:c>
      <x:c r="AA96" s="9" t="str">
        <x:v>EVT-PRICE-92936509D0F9AC245C7E</x:v>
      </x:c>
      <x:c r="AB96" s="9"/>
      <x:c r="AC96" s="11"/>
      <x:c r="AD96" s="9"/>
    </x:row>
    <x:row r="97" ht="42" customHeight="1">
      <x:c r="A97" s="10" t="str">
        <x:v>PF4EZ6PH</x:v>
      </x:c>
      <x:c r="B97" s="9" t="str">
        <x:v>THIẾU THÔNG SỐ</x:v>
      </x:c>
      <x:c r="C97" s="9" t="str">
        <x:v>Lenovo</x:v>
      </x:c>
      <x:c r="D97" s="9" t="str">
        <x:v>Lenovo ThinkPad T14 Gen 3</x:v>
      </x:c>
      <x:c r="E97" s="10" t="str">
        <x:v>BT-000078</x:v>
      </x:c>
      <x:c r="F97" s="9" t="str">
        <x:v>Lenovo ThinkPad T14 Gen 3 · Core i7 - 1270P · CÓ CẢM ỨNG · LAPTOP THƯỜNG</x:v>
      </x:c>
      <x:c r="G97" s="9" t="str">
        <x:v>Core i7 - 1270P</x:v>
      </x:c>
      <x:c r="H97" s="9" t="str">
        <x:v>Gen 3 Core i7 - 1270P</x:v>
      </x:c>
      <x:c r="I97" s="11" t="n">
        <x:v>32</x:v>
      </x:c>
      <x:c r="J97" s="11" t="n">
        <x:v>512</x:v>
      </x:c>
      <x:c r="K97" s="9"/>
      <x:c r="L97" s="9" t="str">
        <x:v>CÓ CẢM ỨNG</x:v>
      </x:c>
      <x:c r="M97" s="9" t="str">
        <x:v>Gen 3 Core i7 - 1270P / Ram 32GB / SSD 512GB / 14" FHD+</x:v>
      </x:c>
      <x:c r="N97" s="9" t="str">
        <x:v>SẴN SÀNG BÁN</x:v>
      </x:c>
      <x:c r="O97" s="11" t="n">
        <x:v>18900000</x:v>
      </x:c>
      <x:c r="P97" s="12" t="n">
        <x:v>46238</x:v>
      </x:c>
      <x:c r="Q97" s="12" t="n">
        <x:v>46238</x:v>
      </x:c>
      <x:c r="R97" s="11" t="n">
        <x:v>69</x:v>
      </x:c>
      <x:c r="S97" s="9" t="str">
        <x:v>MUA/NHẬP HÀNG</x:v>
      </x:c>
      <x:c r="T97" s="10" t="str">
        <x:v>DM-000059</x:v>
      </x:c>
      <x:c r="U97" s="10" t="str">
        <x:v>PF4EZ6PH::1</x:v>
      </x:c>
      <x:c r="V97" s="9" t="str">
        <x:v>Tách từ cấu hình theo serial</x:v>
      </x:c>
      <x:c r="W97" s="9" t="str">
        <x:v>Lenovo ThinkPad T14 Gen 3</x:v>
      </x:c>
      <x:c r="X97" s="9" t="str">
        <x:v>Gen 3 Core i7 - 1270P / Ram 32GB / SSD 512GB / 14" FHD+</x:v>
      </x:c>
      <x:c r="Y97" s="9" t="str">
        <x:v>Chưa có GPU theo serial</x:v>
      </x:c>
      <x:c r="Z97" s="9" t="str">
        <x:v>SERIAL_REGISTRY!A146:AA146</x:v>
      </x:c>
      <x:c r="AA97" s="9" t="str">
        <x:v>EVT-PRICE-92936509D0F9AC245C7E</x:v>
      </x:c>
      <x:c r="AB97" s="9"/>
      <x:c r="AC97" s="11"/>
      <x:c r="AD97" s="9"/>
    </x:row>
    <x:row r="98" ht="42" customHeight="1">
      <x:c r="A98" s="10" t="str">
        <x:v>PF41Q2QT</x:v>
      </x:c>
      <x:c r="B98" s="9" t="str">
        <x:v>KHỚP DỮ LIỆU</x:v>
      </x:c>
      <x:c r="C98" s="9" t="str">
        <x:v>Lenovo</x:v>
      </x:c>
      <x:c r="D98" s="9" t="str">
        <x:v>Lenovo ThinkPad X1 Carbon Gen 10</x:v>
      </x:c>
      <x:c r="E98" s="10" t="str">
        <x:v>BT-000025</x:v>
      </x:c>
      <x:c r="F98" s="9" t="str">
        <x:v>Lenovo ThinkPad X1 Carbon Gen 10 · Core i7-1260P · cảm ứng</x:v>
      </x:c>
      <x:c r="G98" s="9" t="str">
        <x:v>Intel Core i7-1260P</x:v>
      </x:c>
      <x:c r="H98" s="9" t="str">
        <x:v>Core i7 1260P</x:v>
      </x:c>
      <x:c r="I98" s="11" t="n">
        <x:v>16</x:v>
      </x:c>
      <x:c r="J98" s="11" t="n">
        <x:v>512</x:v>
      </x:c>
      <x:c r="K98" s="9" t="str">
        <x:v>Intel Iris Xe Graphics</x:v>
      </x:c>
      <x:c r="L98" s="9" t="str">
        <x:v>CÓ CẢM ỨNG</x:v>
      </x:c>
      <x:c r="M98" s="9" t="str">
        <x:v>Core i7 1260P / Ram 16GB / SSD 512GB / 14"FHD+</x:v>
      </x:c>
      <x:c r="N98" s="9" t="str">
        <x:v>SẴN SÀNG BÁN</x:v>
      </x:c>
      <x:c r="O98" s="11" t="n">
        <x:v>18500000</x:v>
      </x:c>
      <x:c r="P98" s="12" t="n">
        <x:v>46235</x:v>
      </x:c>
      <x:c r="Q98" s="12" t="n">
        <x:v>46235</x:v>
      </x:c>
      <x:c r="R98" s="11" t="n">
        <x:v>72</x:v>
      </x:c>
      <x:c r="S98" s="9" t="str">
        <x:v>SỐ DƯ ĐẦU KỲ</x:v>
      </x:c>
      <x:c r="T98" s="10" t="str">
        <x:v>DM-000019</x:v>
      </x:c>
      <x:c r="U98" s="10" t="str">
        <x:v>PF41Q2QT::1</x:v>
      </x:c>
      <x:c r="V98" s="9" t="str">
        <x:v>Tách từ cấu hình theo serial</x:v>
      </x:c>
      <x:c r="W98" s="9" t="str">
        <x:v>Lenovo ThinkPad X1 Carbon Gen 10</x:v>
      </x:c>
      <x:c r="X98" s="9" t="str">
        <x:v>Core i7 1260P / Ram 16GB / SSD 512GB / 14"FHD+</x:v>
      </x:c>
      <x:c r="Y98" s="9"/>
      <x:c r="Z98" s="9" t="str">
        <x:v>SERIAL_REGISTRY!A109:AA109</x:v>
      </x:c>
      <x:c r="AA98" s="9" t="str">
        <x:v>EVT-PRICE-A6632D4EB1EA14EA8EA9</x:v>
      </x:c>
      <x:c r="AB98" s="9"/>
      <x:c r="AC98" s="11"/>
      <x:c r="AD98" s="9"/>
    </x:row>
    <x:row r="99" ht="42" customHeight="1">
      <x:c r="A99" s="10" t="str">
        <x:v>PF41Q77S</x:v>
      </x:c>
      <x:c r="B99" s="9" t="str">
        <x:v>KHỚP DỮ LIỆU</x:v>
      </x:c>
      <x:c r="C99" s="9" t="str">
        <x:v>Lenovo</x:v>
      </x:c>
      <x:c r="D99" s="9" t="str">
        <x:v>Lenovo ThinkPad X1 Carbon Gen 10</x:v>
      </x:c>
      <x:c r="E99" s="10" t="str">
        <x:v>BT-000025</x:v>
      </x:c>
      <x:c r="F99" s="9" t="str">
        <x:v>Lenovo ThinkPad X1 Carbon Gen 10 · Core i7-1260P · cảm ứng</x:v>
      </x:c>
      <x:c r="G99" s="9" t="str">
        <x:v>Intel Core i7-1260P</x:v>
      </x:c>
      <x:c r="H99" s="9" t="str">
        <x:v>Core i7 1260P</x:v>
      </x:c>
      <x:c r="I99" s="11" t="n">
        <x:v>16</x:v>
      </x:c>
      <x:c r="J99" s="11" t="n">
        <x:v>512</x:v>
      </x:c>
      <x:c r="K99" s="9" t="str">
        <x:v>Intel Iris Xe Graphics</x:v>
      </x:c>
      <x:c r="L99" s="9" t="str">
        <x:v>CÓ CẢM ỨNG</x:v>
      </x:c>
      <x:c r="M99" s="9" t="str">
        <x:v>Core i7 1260P / Ram 16GB / SSD 512GB / 14"FHD+</x:v>
      </x:c>
      <x:c r="N99" s="9" t="str">
        <x:v>SẴN SÀNG BÁN</x:v>
      </x:c>
      <x:c r="O99" s="11" t="n">
        <x:v>18500000</x:v>
      </x:c>
      <x:c r="P99" s="12" t="n">
        <x:v>46235</x:v>
      </x:c>
      <x:c r="Q99" s="12" t="n">
        <x:v>46235</x:v>
      </x:c>
      <x:c r="R99" s="11" t="n">
        <x:v>72</x:v>
      </x:c>
      <x:c r="S99" s="9" t="str">
        <x:v>SỐ DƯ ĐẦU KỲ</x:v>
      </x:c>
      <x:c r="T99" s="10" t="str">
        <x:v>DM-000019</x:v>
      </x:c>
      <x:c r="U99" s="10" t="str">
        <x:v>PF41Q77S::1</x:v>
      </x:c>
      <x:c r="V99" s="9" t="str">
        <x:v>Tách từ cấu hình theo serial</x:v>
      </x:c>
      <x:c r="W99" s="9" t="str">
        <x:v>Lenovo ThinkPad X1 Carbon Gen 10</x:v>
      </x:c>
      <x:c r="X99" s="9" t="str">
        <x:v>Core i7 1260P / Ram 16GB / SSD 512GB / 14"FHD+</x:v>
      </x:c>
      <x:c r="Y99" s="9"/>
      <x:c r="Z99" s="9" t="str">
        <x:v>SERIAL_REGISTRY!A110:AA110</x:v>
      </x:c>
      <x:c r="AA99" s="9" t="str">
        <x:v>EVT-PRICE-A6632D4EB1EA14EA8EA9</x:v>
      </x:c>
      <x:c r="AB99" s="9"/>
      <x:c r="AC99" s="11"/>
      <x:c r="AD99" s="9"/>
    </x:row>
    <x:row r="100" ht="42" customHeight="1">
      <x:c r="A100" s="10" t="str">
        <x:v>PS00C7M6</x:v>
      </x:c>
      <x:c r="B100" s="9" t="str">
        <x:v>KHỚP DỮ LIỆU</x:v>
      </x:c>
      <x:c r="C100" s="9" t="str">
        <x:v>Lenovo</x:v>
      </x:c>
      <x:c r="D100" s="9" t="str">
        <x:v>Lenovo Yoga Pro 14s</x:v>
      </x:c>
      <x:c r="E100" s="10" t="str">
        <x:v>BT-000207</x:v>
      </x:c>
      <x:c r="F100" s="9" t="str">
        <x:v>Lenovo Yoga Pro 14s · Ryzen 7-6800HS · không cảm ứng · AMD Radeon 680M</x:v>
      </x:c>
      <x:c r="G100" s="9" t="str">
        <x:v>Ryzen 7-6800HS</x:v>
      </x:c>
      <x:c r="H100" s="9" t="str">
        <x:v>Ryzen 7-6800HS</x:v>
      </x:c>
      <x:c r="I100" s="11" t="n">
        <x:v>16</x:v>
      </x:c>
      <x:c r="J100" s="11" t="n">
        <x:v>512</x:v>
      </x:c>
      <x:c r="K100" s="9" t="str">
        <x:v>AMD Radeon 680M</x:v>
      </x:c>
      <x:c r="L100" s="9" t="str">
        <x:v>KHÔNG CẢM ỨNG</x:v>
      </x:c>
      <x:c r="M100" s="9" t="str">
        <x:v>Ryzen 7-6800HS / RAM 16GB / SSD 512GB / AMD Radeon 680M / KHÔNG CẢM ỨNG</x:v>
      </x:c>
      <x:c r="N100" s="9" t="str">
        <x:v>SẴN SÀNG BÁN</x:v>
      </x:c>
      <x:c r="O100" s="11" t="n">
        <x:v>19600000</x:v>
      </x:c>
      <x:c r="P100" s="12" t="n">
        <x:v>46300</x:v>
      </x:c>
      <x:c r="Q100" s="12" t="n">
        <x:v>46300</x:v>
      </x:c>
      <x:c r="R100" s="11" t="n">
        <x:v>7</x:v>
      </x:c>
      <x:c r="S100" s="9" t="str">
        <x:v>KHÁCH ĐỔI/TRẢ</x:v>
      </x:c>
      <x:c r="T100" s="10" t="str">
        <x:v>DM-000159</x:v>
      </x:c>
      <x:c r="U100" s="10" t="str">
        <x:v>PS00C7M6::2</x:v>
      </x:c>
      <x:c r="V100" s="9" t="str">
        <x:v>Trường số hồ sơ</x:v>
      </x:c>
      <x:c r="W100" s="9" t="str">
        <x:v>Lenovo Yoga Pro 14s</x:v>
      </x:c>
      <x:c r="X100" s="9" t="str">
        <x:v>Ryzen 7-6800HS / RAM 16GB / SSD 512GB / AMD Radeon 680M / KHÔNG CẢM ỨNG</x:v>
      </x:c>
      <x:c r="Y100" s="9"/>
      <x:c r="Z100" s="9" t="str">
        <x:v>SERIAL_REGISTRY!A397:AA397</x:v>
      </x:c>
      <x:c r="AA100" s="9" t="str">
        <x:v>EVT-QC-9E63D15E82942D640AA3</x:v>
      </x:c>
      <x:c r="AB100" s="9"/>
      <x:c r="AC100" s="11"/>
      <x:c r="AD100" s="9"/>
    </x:row>
    <x:row r="101" ht="42" customHeight="1">
      <x:c r="A101" s="10" t="str">
        <x:v>012130713266</x:v>
      </x:c>
      <x:c r="B101" s="9" t="str">
        <x:v>KHỚP DỮ LIỆU</x:v>
      </x:c>
      <x:c r="C101" s="9" t="str">
        <x:v>Microsoft</x:v>
      </x:c>
      <x:c r="D101" s="9" t="str">
        <x:v>Microsoft Surface Laptop Go 1</x:v>
      </x:c>
      <x:c r="E101" s="10" t="str">
        <x:v>BT-000215</x:v>
      </x:c>
      <x:c r="F101" s="9" t="str">
        <x:v>Microsoft Surface Laptop Go 1 · Intel Core i5-1035G1 · có cảm ứng · Intel UHD Graphics</x:v>
      </x:c>
      <x:c r="G101" s="9" t="str">
        <x:v>Intel Core i5-1035G1</x:v>
      </x:c>
      <x:c r="H101" s="9" t="str">
        <x:v>Intel Core i5-1035G1</x:v>
      </x:c>
      <x:c r="I101" s="11" t="n">
        <x:v>16</x:v>
      </x:c>
      <x:c r="J101" s="11" t="n">
        <x:v>256</x:v>
      </x:c>
      <x:c r="K101" s="9" t="str">
        <x:v>Intel UHD Graphics</x:v>
      </x:c>
      <x:c r="L101" s="9" t="str">
        <x:v>CÓ CẢM ỨNG</x:v>
      </x:c>
      <x:c r="M101" s="9" t="str">
        <x:v>Intel Core i5-1035G1 / RAM 16GB / SSD 256GB / Intel UHD Graphics / CÓ CẢM ỨNG</x:v>
      </x:c>
      <x:c r="N101" s="9" t="str">
        <x:v>SẴN SÀNG BÁN</x:v>
      </x:c>
      <x:c r="O101" s="11" t="n">
        <x:v>10700000</x:v>
      </x:c>
      <x:c r="P101" s="12" t="n">
        <x:v>46301</x:v>
      </x:c>
      <x:c r="Q101" s="12" t="n">
        <x:v>46301</x:v>
      </x:c>
      <x:c r="R101" s="11" t="n">
        <x:v>6</x:v>
      </x:c>
      <x:c r="S101" s="9" t="str">
        <x:v>MUA/NHẬP HÀNG</x:v>
      </x:c>
      <x:c r="T101" s="10" t="str">
        <x:v>DM-000164</x:v>
      </x:c>
      <x:c r="U101" s="10" t="str">
        <x:v>012130713266::1</x:v>
      </x:c>
      <x:c r="V101" s="9" t="str">
        <x:v>Trường số hồ sơ</x:v>
      </x:c>
      <x:c r="W101" s="9" t="str">
        <x:v>Surface Laptop Go 1</x:v>
      </x:c>
      <x:c r="X101" s="9" t="str">
        <x:v>Intel Core i5-1035G1 / RAM 16GB / SSD 256GB / Intel UHD Graphics / CÓ CẢM ỨNG</x:v>
      </x:c>
      <x:c r="Y101" s="9"/>
      <x:c r="Z101" s="9" t="str">
        <x:v>SERIAL_REGISTRY!A437:AA437</x:v>
      </x:c>
      <x:c r="AA101" s="9" t="str">
        <x:v>EVT-IN-4BAAAD4C5F7964404E95</x:v>
      </x:c>
      <x:c r="AB101" s="9"/>
      <x:c r="AC101" s="11"/>
      <x:c r="AD101" s="9"/>
    </x:row>
    <x:row r="102" ht="42" customHeight="1">
      <x:c r="A102" s="10" t="str">
        <x:v>017517710766</x:v>
      </x:c>
      <x:c r="B102" s="9" t="str">
        <x:v>KHỚP DỮ LIỆU</x:v>
      </x:c>
      <x:c r="C102" s="9" t="str">
        <x:v>Microsoft</x:v>
      </x:c>
      <x:c r="D102" s="9" t="str">
        <x:v>Microsoft Surface Laptop Go 1</x:v>
      </x:c>
      <x:c r="E102" s="10" t="str">
        <x:v>BT-000215</x:v>
      </x:c>
      <x:c r="F102" s="9" t="str">
        <x:v>Microsoft Surface Laptop Go 1 · Intel Core i5-1035G1 · có cảm ứng · Intel UHD Graphics</x:v>
      </x:c>
      <x:c r="G102" s="9" t="str">
        <x:v>Intel Core i5-1035G1</x:v>
      </x:c>
      <x:c r="H102" s="9" t="str">
        <x:v>Intel Core i5-1035G1</x:v>
      </x:c>
      <x:c r="I102" s="11" t="n">
        <x:v>16</x:v>
      </x:c>
      <x:c r="J102" s="11" t="n">
        <x:v>256</x:v>
      </x:c>
      <x:c r="K102" s="9" t="str">
        <x:v>Intel UHD Graphics</x:v>
      </x:c>
      <x:c r="L102" s="9" t="str">
        <x:v>CÓ CẢM ỨNG</x:v>
      </x:c>
      <x:c r="M102" s="9" t="str">
        <x:v>Intel Core i5-1035G1 / RAM 16GB / SSD 256GB / Intel UHD Graphics / CÓ CẢM ỨNG</x:v>
      </x:c>
      <x:c r="N102" s="9" t="str">
        <x:v>SẴN SÀNG BÁN</x:v>
      </x:c>
      <x:c r="O102" s="11" t="n">
        <x:v>10700000</x:v>
      </x:c>
      <x:c r="P102" s="12" t="n">
        <x:v>46301</x:v>
      </x:c>
      <x:c r="Q102" s="12" t="n">
        <x:v>46301</x:v>
      </x:c>
      <x:c r="R102" s="11" t="n">
        <x:v>6</x:v>
      </x:c>
      <x:c r="S102" s="9" t="str">
        <x:v>MUA/NHẬP HÀNG</x:v>
      </x:c>
      <x:c r="T102" s="10" t="str">
        <x:v>DM-000164</x:v>
      </x:c>
      <x:c r="U102" s="10" t="str">
        <x:v>017517710766::1</x:v>
      </x:c>
      <x:c r="V102" s="9" t="str">
        <x:v>Trường số hồ sơ</x:v>
      </x:c>
      <x:c r="W102" s="9" t="str">
        <x:v>Surface Laptop Go 1</x:v>
      </x:c>
      <x:c r="X102" s="9" t="str">
        <x:v>Intel Core i5-1035G1 / RAM 16GB / SSD 256GB / Intel UHD Graphics / CÓ CẢM ỨNG</x:v>
      </x:c>
      <x:c r="Y102" s="9"/>
      <x:c r="Z102" s="9" t="str">
        <x:v>SERIAL_REGISTRY!A436:AA436</x:v>
      </x:c>
      <x:c r="AA102" s="9" t="str">
        <x:v>EVT-IN-BD2A8CDEFE179EB6FC48</x:v>
      </x:c>
      <x:c r="AB102" s="9"/>
      <x:c r="AC102" s="11"/>
      <x:c r="AD102" s="9"/>
    </x:row>
    <x:row r="103" ht="42" customHeight="1">
      <x:c r="A103" s="10" t="str">
        <x:v>018636404466</x:v>
      </x:c>
      <x:c r="B103" s="9" t="str">
        <x:v>KHỚP DỮ LIỆU</x:v>
      </x:c>
      <x:c r="C103" s="9" t="str">
        <x:v>Microsoft</x:v>
      </x:c>
      <x:c r="D103" s="9" t="str">
        <x:v>Microsoft Surface Laptop Go 1</x:v>
      </x:c>
      <x:c r="E103" s="10" t="str">
        <x:v>BT-000215</x:v>
      </x:c>
      <x:c r="F103" s="9" t="str">
        <x:v>Microsoft Surface Laptop Go 1 · Intel Core i5-1035G1 · có cảm ứng · Intel UHD Graphics</x:v>
      </x:c>
      <x:c r="G103" s="9" t="str">
        <x:v>Intel Core i5-1035G1</x:v>
      </x:c>
      <x:c r="H103" s="9" t="str">
        <x:v>Intel Core i5-1035G1</x:v>
      </x:c>
      <x:c r="I103" s="11" t="n">
        <x:v>16</x:v>
      </x:c>
      <x:c r="J103" s="11" t="n">
        <x:v>256</x:v>
      </x:c>
      <x:c r="K103" s="9" t="str">
        <x:v>Intel UHD Graphics</x:v>
      </x:c>
      <x:c r="L103" s="9" t="str">
        <x:v>CÓ CẢM ỨNG</x:v>
      </x:c>
      <x:c r="M103" s="9" t="str">
        <x:v>Intel Core i5-1035G1 / RAM 16GB / SSD 256GB / Intel UHD Graphics / CÓ CẢM ỨNG</x:v>
      </x:c>
      <x:c r="N103" s="9" t="str">
        <x:v>SẴN SÀNG BÁN</x:v>
      </x:c>
      <x:c r="O103" s="11" t="n">
        <x:v>10700000</x:v>
      </x:c>
      <x:c r="P103" s="12" t="n">
        <x:v>46298</x:v>
      </x:c>
      <x:c r="Q103" s="12" t="n">
        <x:v>46298</x:v>
      </x:c>
      <x:c r="R103" s="11" t="n">
        <x:v>9</x:v>
      </x:c>
      <x:c r="S103" s="9" t="str">
        <x:v>MUA/NHẬP HÀNG</x:v>
      </x:c>
      <x:c r="T103" s="10" t="str">
        <x:v>DM-000164</x:v>
      </x:c>
      <x:c r="U103" s="10" t="str">
        <x:v>018636404466::1</x:v>
      </x:c>
      <x:c r="V103" s="9" t="str">
        <x:v>Trường số hồ sơ</x:v>
      </x:c>
      <x:c r="W103" s="9" t="str">
        <x:v>Surface Laptop Go 1</x:v>
      </x:c>
      <x:c r="X103" s="9" t="str">
        <x:v>Intel Core i5-1035G1 / RAM 16GB / SSD 256GB / Intel UHD Graphics / CÓ CẢM ỨNG</x:v>
      </x:c>
      <x:c r="Y103" s="9"/>
      <x:c r="Z103" s="9" t="str">
        <x:v>SERIAL_REGISTRY!A426:AA426</x:v>
      </x:c>
      <x:c r="AA103" s="9" t="str">
        <x:v>EVT-REPAIR-SGO1-20261003-02</x:v>
      </x:c>
      <x:c r="AB103" s="9"/>
      <x:c r="AC103" s="11"/>
      <x:c r="AD103" s="9"/>
    </x:row>
    <x:row r="104" ht="42" customHeight="1">
      <x:c r="A104" s="10" t="str">
        <x:v>0B333W8232437H</x:v>
      </x:c>
      <x:c r="B104" s="9" t="str">
        <x:v>KHỚP DỮ LIỆU</x:v>
      </x:c>
      <x:c r="C104" s="9" t="str">
        <x:v>Microsoft</x:v>
      </x:c>
      <x:c r="D104" s="9" t="str">
        <x:v>Microsoft Surface Laptop Go 2</x:v>
      </x:c>
      <x:c r="E104" s="10" t="str">
        <x:v>BT-000172</x:v>
      </x:c>
      <x:c r="F104" s="9" t="str">
        <x:v>Microsoft Surface Laptop Go 2 · Core i5-1135G7 · có cảm ứng · Intel Iris Xe Graphics</x:v>
      </x:c>
      <x:c r="G104" s="9" t="str">
        <x:v>Core i5-1135G7</x:v>
      </x:c>
      <x:c r="H104" s="9" t="str">
        <x:v>Core i5 - 1135G7</x:v>
      </x:c>
      <x:c r="I104" s="11" t="n">
        <x:v>16</x:v>
      </x:c>
      <x:c r="J104" s="11" t="n">
        <x:v>256</x:v>
      </x:c>
      <x:c r="K104" s="9" t="str">
        <x:v>Intel Iris Xe Graphics</x:v>
      </x:c>
      <x:c r="L104" s="9" t="str">
        <x:v>CÓ CẢM ỨNG</x:v>
      </x:c>
      <x:c r="M104" s="9" t="str">
        <x:v>Core i5 - 1135G7 / Ram 16 GB / SSD 256GB / 12.4 " (1536 x 1024) Cảm ứng</x:v>
      </x:c>
      <x:c r="N104" s="9" t="str">
        <x:v>SẴN SÀNG BÁN</x:v>
      </x:c>
      <x:c r="O104" s="11" t="n">
        <x:v>11900000</x:v>
      </x:c>
      <x:c r="P104" s="12" t="n">
        <x:v>46272</x:v>
      </x:c>
      <x:c r="Q104" s="12" t="n">
        <x:v>46272</x:v>
      </x:c>
      <x:c r="R104" s="11" t="n">
        <x:v>35</x:v>
      </x:c>
      <x:c r="S104" s="9" t="str">
        <x:v>MUA/NHẬP HÀNG</x:v>
      </x:c>
      <x:c r="T104" s="10" t="str">
        <x:v>DM-000009</x:v>
      </x:c>
      <x:c r="U104" s="10" t="str">
        <x:v>0B333W8232437H::1</x:v>
      </x:c>
      <x:c r="V104" s="9" t="str">
        <x:v>Trường số hồ sơ</x:v>
      </x:c>
      <x:c r="W104" s="9" t="str">
        <x:v>Microsoft Surface Laptop Go 2</x:v>
      </x:c>
      <x:c r="X104" s="9" t="str">
        <x:v>Core i5 - 1135G7 / Ram 16 GB / SSD 256GB / 12.4 " (1536 x 1024) Cảm ứng</x:v>
      </x:c>
      <x:c r="Y104" s="9"/>
      <x:c r="Z104" s="9" t="str">
        <x:v>SERIAL_REGISTRY!A273:AA273</x:v>
      </x:c>
      <x:c r="AA104" s="9" t="str">
        <x:v>EVT-PRICE-396A74A8E6955C9E7EBF</x:v>
      </x:c>
      <x:c r="AB104" s="9"/>
      <x:c r="AC104" s="11"/>
      <x:c r="AD104" s="9"/>
    </x:row>
    <x:row r="105" ht="42" customHeight="1">
      <x:c r="A105" s="10" t="str">
        <x:v>K211N0174631</x:v>
      </x:c>
      <x:c r="B105" s="9" t="str">
        <x:v>KHỚP DỮ LIỆU</x:v>
      </x:c>
      <x:c r="C105" s="9" t="str">
        <x:v>MSI</x:v>
      </x:c>
      <x:c r="D105" s="9" t="str">
        <x:v>MSI Bravo 15 Gaming Bravo 15 B5DD-279VN</x:v>
      </x:c>
      <x:c r="E105" s="10" t="str">
        <x:v>BT-000229</x:v>
      </x:c>
      <x:c r="F105" s="9" t="str">
        <x:v>MSI Bravo 15 Gaming Bravo 15 B5DD-279VN · Ryzen 5 - 5600H · không cảm ứng · VGA 4GB RX5500M</x:v>
      </x:c>
      <x:c r="G105" s="9" t="str">
        <x:v>Ryzen 5 - 5600H</x:v>
      </x:c>
      <x:c r="H105" s="9" t="str">
        <x:v>Ryzen 5 - 5600H</x:v>
      </x:c>
      <x:c r="I105" s="11" t="n">
        <x:v>8</x:v>
      </x:c>
      <x:c r="J105" s="11" t="n">
        <x:v>512</x:v>
      </x:c>
      <x:c r="K105" s="9" t="str">
        <x:v>VGA 4GB RX5500M</x:v>
      </x:c>
      <x:c r="L105" s="9" t="str">
        <x:v>KHÔNG CẢM ỨNG</x:v>
      </x:c>
      <x:c r="M105" s="9" t="str">
        <x:v>Ryzen 5 - 5600H / RAM 8GB / SSD 512GB / VGA 4GB RX5500M / KHÔNG CẢM ỨNG</x:v>
      </x:c>
      <x:c r="N105" s="9" t="str">
        <x:v>SẴN SÀNG BÁN</x:v>
      </x:c>
      <x:c r="O105" s="11"/>
      <x:c r="P105" s="12" t="n">
        <x:v>46307</x:v>
      </x:c>
      <x:c r="Q105" s="12" t="n">
        <x:v>46307</x:v>
      </x:c>
      <x:c r="R105" s="11" t="n">
        <x:v>0</x:v>
      </x:c>
      <x:c r="S105" s="9" t="str">
        <x:v>THU MÁY KHÁCH</x:v>
      </x:c>
      <x:c r="T105" s="10" t="str">
        <x:v>DM-000176</x:v>
      </x:c>
      <x:c r="U105" s="10" t="str">
        <x:v>K211N0174631::1</x:v>
      </x:c>
      <x:c r="V105" s="9" t="str">
        <x:v>Trường số hồ sơ</x:v>
      </x:c>
      <x:c r="W105" s="9" t="str">
        <x:v>MSI Gaming Bravo 15 B5DD - 279VN</x:v>
      </x:c>
      <x:c r="X105" s="9" t="str">
        <x:v>Ryzen 5 - 5600H / RAM 8GB / SSD 512GB / VGA 4GB RX5500M / KHÔNG CẢM ỨNG</x:v>
      </x:c>
      <x:c r="Y105" s="9"/>
      <x:c r="Z105" s="9" t="str">
        <x:v>SERIAL_REGISTRY!A445:AA445</x:v>
      </x:c>
      <x:c r="AA105" s="9" t="str">
        <x:v>EVT-IN-0A25854C507E7313D98C</x:v>
      </x:c>
      <x:c r="AB105" s="9" t="str">
        <x:v>SHOP</x:v>
      </x:c>
      <x:c r="AC105" s="11" t="n">
        <x:v>3</x:v>
      </x:c>
      <x:c r="AD105" s="9"/>
    </x:row>
    <x:row r="106" ht="42" customHeight="1">
      <x:c r="A106" s="10" t="str">
        <x:v>K2306N0085757</x:v>
      </x:c>
      <x:c r="B106" s="9" t="str">
        <x:v>KHỚP DỮ LIỆU</x:v>
      </x:c>
      <x:c r="C106" s="9" t="str">
        <x:v>MSI</x:v>
      </x:c>
      <x:c r="D106" s="9" t="str">
        <x:v>MSI Thin GF63 Laptop MSI Gaming GF63 Thin 12VE</x:v>
      </x:c>
      <x:c r="E106" s="10" t="str">
        <x:v>BT-000224</x:v>
      </x:c>
      <x:c r="F106" s="9" t="str">
        <x:v>MSI Thin GF63 Laptop MSI Gaming GF63 Thin 12VE · Core i5 12450H · không cảm ứng · NVIDIA RTX 4050 6GB</x:v>
      </x:c>
      <x:c r="G106" s="9" t="str">
        <x:v>Core i5 12450H</x:v>
      </x:c>
      <x:c r="H106" s="9" t="str">
        <x:v>Core i5 12450H</x:v>
      </x:c>
      <x:c r="I106" s="11" t="n">
        <x:v>16</x:v>
      </x:c>
      <x:c r="J106" s="11" t="n">
        <x:v>512</x:v>
      </x:c>
      <x:c r="K106" s="9" t="str">
        <x:v>NVIDIA RTX 4050 6GB</x:v>
      </x:c>
      <x:c r="L106" s="9" t="str">
        <x:v>KHÔNG CẢM ỨNG</x:v>
      </x:c>
      <x:c r="M106" s="9" t="str">
        <x:v>Core i5 12450H / RAM 16GB / SSD 512GB / NVIDIA RTX 4050 6GB / KHÔNG CẢM ỨNG</x:v>
      </x:c>
      <x:c r="N106" s="9" t="str">
        <x:v>SẴN SÀNG BÁN</x:v>
      </x:c>
      <x:c r="O106" s="11"/>
      <x:c r="P106" s="12" t="n">
        <x:v>46302</x:v>
      </x:c>
      <x:c r="Q106" s="12" t="n">
        <x:v>46302</x:v>
      </x:c>
      <x:c r="R106" s="11" t="n">
        <x:v>5</x:v>
      </x:c>
      <x:c r="S106" s="9" t="str">
        <x:v>THU MÁY KHÁCH</x:v>
      </x:c>
      <x:c r="T106" s="10" t="str">
        <x:v>DM-000172</x:v>
      </x:c>
      <x:c r="U106" s="10" t="str">
        <x:v>K2306N0085757::1</x:v>
      </x:c>
      <x:c r="V106" s="9" t="str">
        <x:v>Trường số hồ sơ</x:v>
      </x:c>
      <x:c r="W106" s="9" t="str">
        <x:v>Laptop MSI Gaming GF63 Thin 12VE</x:v>
      </x:c>
      <x:c r="X106" s="9" t="str">
        <x:v>Core i5 12450H / RAM 16GB / SSD 512GB / NVIDIA RTX 4050 6GB / KHÔNG CẢM ỨNG</x:v>
      </x:c>
      <x:c r="Y106" s="9"/>
      <x:c r="Z106" s="9" t="str">
        <x:v>SERIAL_REGISTRY!A440:AA440</x:v>
      </x:c>
      <x:c r="AA106" s="9" t="str">
        <x:v>EVT-IN-C9EE31CAF502C2D7F15D</x:v>
      </x:c>
      <x:c r="AB106" s="9"/>
      <x:c r="AC106" s="11"/>
      <x:c r="AD106" s="9"/>
    </x:row>
  </x:sheetData>
  <x:conditionalFormatting sqref="B9:B106">
    <x:cfRule type="containsText" dxfId="0" priority="1" operator="containsText" text="CẦN XÁC NHẬN"/>
    <x:cfRule type="containsText" dxfId="1" priority="2" operator="containsText" text="THIẾU THÔNG SỐ"/>
  </x:conditionalFormatting>
  <x:conditionalFormatting sqref="N9:N106">
    <x:cfRule type="containsText" dxfId="2" priority="3" operator="containsText" text="CẦN KIỂM TRA"/>
  </x:conditionalFormatting>
  <x:conditionalFormatting sqref="O9:O106">
    <x:cfRule type="containsBlanks" dxfId="3" priority="4"/>
  </x:conditionalFormatting>
  <x:pageMargins left="0.7" right="0.7" top="0.75" bottom="0.75" header="0.3" footer="0.3"/>
  <x:tableParts count="1">
    <x:tablePart xmlns:r="http://schemas.openxmlformats.org/officeDocument/2006/relationships" r:id="Rca9fbd2ae0d84c43"/>
  </x:tableParts>
</x:worksheet>
</file>

<file path=xl/worksheets/sheet2.xml><?xml version="1.0" encoding="utf-8"?>
<x:worksheet xmlns:x="http://schemas.openxmlformats.org/spreadsheetml/2006/main">
  <x:sheetPr>
    <x:tabColor rgb="FF245D9E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17" hidden="0" customWidth="1"/>
    <x:col min="2" max="2" width="13" hidden="0" customWidth="1"/>
    <x:col min="3" max="3" width="38" hidden="0" customWidth="1"/>
    <x:col min="4" max="4" width="68" hidden="0" customWidth="1"/>
    <x:col min="5" max="5" width="30" hidden="0" customWidth="1"/>
    <x:col min="6" max="6" width="33" hidden="0" customWidth="1"/>
    <x:col min="7" max="7" width="22" hidden="0" customWidth="1"/>
    <x:col min="8" max="8" width="15" hidden="0" customWidth="1"/>
    <x:col min="9" max="9" width="15" hidden="0" customWidth="1"/>
    <x:col min="10" max="10" width="16" hidden="0" customWidth="1"/>
    <x:col min="11" max="11" width="19" hidden="0" customWidth="1"/>
    <x:col min="12" max="12" width="19" hidden="0" customWidth="1"/>
    <x:col min="13" max="13" width="19" hidden="0" customWidth="1"/>
    <x:col min="14" max="14" width="20" hidden="0" customWidth="1"/>
    <x:col min="15" max="15" width="15" hidden="0" customWidth="1"/>
    <x:col min="16" max="16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30" customHeight="1">
      <x:c r="A2" s="3" t="str">
        <x:v>Tổng hợp tồn theo biến thể và cấu hình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1" customHeight="1">
      <x:c r="A3" s="4" t="str">
        <x:v>98 máy trong 44 mã biến thể. Mốc xuất: 18:32 12/10/2026 (GMT+7).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ht="21" customHeight="1">
      <x:c r="A4" s="4" t="str">
        <x:v>Nhóm theo mã BT và CPU, GPU, cảm ứng, RAM, SSD riêng của từng serial.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</x:row>
    <x:row r="5" ht="21" customHeight="1">
      <x:c r="A5" s="4" t="str">
        <x:v>Cột Cần xác nhận và Thiếu thông số nằm trong Tổng tồn. Nhóm có cảnh báo chưa chốt cấu hình thực tế.</x:v>
      </x:c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42" customHeight="1">
      <x:c r="A8" s="8" t="str">
        <x:v>Mã BT</x:v>
      </x:c>
      <x:c r="B8" s="8" t="str">
        <x:v>Hãng</x:v>
      </x:c>
      <x:c r="C8" s="8" t="str">
        <x:v>Dòng máy</x:v>
      </x:c>
      <x:c r="D8" s="8" t="str">
        <x:v>Tên biến thể danh mục</x:v>
      </x:c>
      <x:c r="E8" s="8" t="str">
        <x:v>CPU hồ sơ</x:v>
      </x:c>
      <x:c r="F8" s="8" t="str">
        <x:v>GPU hồ sơ</x:v>
      </x:c>
      <x:c r="G8" s="8" t="str">
        <x:v>Cảm ứng</x:v>
      </x:c>
      <x:c r="H8" s="8" t="str">
        <x:v>RAM (GB)</x:v>
      </x:c>
      <x:c r="I8" s="8" t="str">
        <x:v>SSD (GB)</x:v>
      </x:c>
      <x:c r="J8" s="8" t="str">
        <x:v>Tổng tồn</x:v>
      </x:c>
      <x:c r="K8" s="8" t="str">
        <x:v>Sẵn sàng bán</x:v>
      </x:c>
      <x:c r="L8" s="8" t="str">
        <x:v>Cần kiểm tra</x:v>
      </x:c>
      <x:c r="M8" s="8" t="str">
        <x:v>Cần xác nhận</x:v>
      </x:c>
      <x:c r="N8" s="8" t="str">
        <x:v>Thiếu thông số</x:v>
      </x:c>
      <x:c r="O8" s="8" t="str">
        <x:v>Có giá</x:v>
      </x:c>
      <x:c r="P8" s="8" t="str">
        <x:v>Chưa có giá</x:v>
      </x:c>
    </x:row>
    <x:row r="9" ht="42" customHeight="1">
      <x:c r="A9" s="9" t="str">
        <x:v>BT-000230</x:v>
      </x:c>
      <x:c r="B9" s="9" t="str">
        <x:v>Acer</x:v>
      </x:c>
      <x:c r="C9" s="9" t="str">
        <x:v>Acer Acer Nitro 5 AN515-57</x:v>
      </x:c>
      <x:c r="D9" s="9" t="str">
        <x:v>Acer Acer Nitro 5 AN515-57 · Core I5-11400H · không cảm ứng · RTX 1650 - 4GB</x:v>
      </x:c>
      <x:c r="E9" s="9" t="str">
        <x:v>Core I5-11400H</x:v>
      </x:c>
      <x:c r="F9" s="9" t="str">
        <x:v>RTX 1650 - 4GB</x:v>
      </x:c>
      <x:c r="G9" s="9" t="str">
        <x:v>KHÔNG CẢM ỨNG</x:v>
      </x:c>
      <x:c r="H9" s="13" t="n">
        <x:v>8</x:v>
      </x:c>
      <x:c r="I9" s="13" t="n">
        <x:v>512</x:v>
      </x:c>
      <x:c r="J9" s="13" t="n">
        <x:f>COUNTIFS('Tồn theo serial'!$E$9:$E$106,$A9)</x:f>
        <x:v>1</x:v>
      </x:c>
      <x:c r="K9" s="13" t="n">
        <x:f>COUNTIFS('Tồn theo serial'!$E$9:$E$106,$A9,'Tồn theo serial'!$N$9:$N$106,"SẴN SÀNG BÁN")</x:f>
        <x:v>1</x:v>
      </x:c>
      <x:c r="L9" s="13" t="n">
        <x:f>COUNTIFS('Tồn theo serial'!$E$9:$E$106,$A9,'Tồn theo serial'!$N$9:$N$106,"CẦN KIỂM TRA")</x:f>
        <x:v>0</x:v>
      </x:c>
      <x:c r="M9" s="13" t="n">
        <x:f>COUNTIFS('Tồn theo serial'!$E$9:$E$106,$A9,'Tồn theo serial'!$B$9:$B$106,"CẦN XÁC NHẬN")</x:f>
        <x:v>1</x:v>
      </x:c>
      <x:c r="N9" s="13" t="n">
        <x:f>COUNTIFS('Tồn theo serial'!$E$9:$E$106,$A9,'Tồn theo serial'!$B$9:$B$106,"THIẾU THÔNG SỐ")</x:f>
        <x:v>0</x:v>
      </x:c>
      <x:c r="O9" s="13" t="n">
        <x:f>COUNTIFS('Tồn theo serial'!$E$9:$E$106,$A9,'Tồn theo serial'!$O$9:$O$106,"&gt;0")</x:f>
        <x:v>1</x:v>
      </x:c>
      <x:c r="P9" s="13" t="n">
        <x:f>J9-O9</x:f>
        <x:v>0</x:v>
      </x:c>
    </x:row>
    <x:row r="10" ht="42" customHeight="1">
      <x:c r="A10" s="9" t="str">
        <x:v>BT-000010</x:v>
      </x:c>
      <x:c r="B10" s="9" t="str">
        <x:v>Acer</x:v>
      </x:c>
      <x:c r="C10" s="9" t="str">
        <x:v>Acer Aspire 14 AI A14-52M</x:v>
      </x:c>
      <x:c r="D10" s="9" t="str">
        <x:v>Acer Aspire 14 AI A14-52M · Core Ultra 7 256V · không cảm ứng</x:v>
      </x:c>
      <x:c r="E10" s="9" t="str">
        <x:v>Intel Core Ultra 7 256V</x:v>
      </x:c>
      <x:c r="F10" s="9" t="str">
        <x:v>Intel Arc 140V</x:v>
      </x:c>
      <x:c r="G10" s="9" t="str">
        <x:v>KHÔNG CẢM ỨNG</x:v>
      </x:c>
      <x:c r="H10" s="13" t="n">
        <x:v>16</x:v>
      </x:c>
      <x:c r="I10" s="13" t="n">
        <x:v>512</x:v>
      </x:c>
      <x:c r="J10" s="13" t="n">
        <x:f>COUNTIFS('Tồn theo serial'!$E$9:$E$106,$A10)</x:f>
        <x:v>2</x:v>
      </x:c>
      <x:c r="K10" s="13" t="n">
        <x:f>COUNTIFS('Tồn theo serial'!$E$9:$E$106,$A10,'Tồn theo serial'!$N$9:$N$106,"SẴN SÀNG BÁN")</x:f>
        <x:v>2</x:v>
      </x:c>
      <x:c r="L10" s="13" t="n">
        <x:f>COUNTIFS('Tồn theo serial'!$E$9:$E$106,$A10,'Tồn theo serial'!$N$9:$N$106,"CẦN KIỂM TRA")</x:f>
        <x:v>0</x:v>
      </x:c>
      <x:c r="M10" s="13" t="n">
        <x:f>COUNTIFS('Tồn theo serial'!$E$9:$E$106,$A10,'Tồn theo serial'!$B$9:$B$106,"CẦN XÁC NHẬN")</x:f>
        <x:v>2</x:v>
      </x:c>
      <x:c r="N10" s="13" t="n">
        <x:f>COUNTIFS('Tồn theo serial'!$E$9:$E$106,$A10,'Tồn theo serial'!$B$9:$B$106,"THIẾU THÔNG SỐ")</x:f>
        <x:v>0</x:v>
      </x:c>
      <x:c r="O10" s="13" t="n">
        <x:f>COUNTIFS('Tồn theo serial'!$E$9:$E$106,$A10,'Tồn theo serial'!$O$9:$O$106,"&gt;0")</x:f>
        <x:v>2</x:v>
      </x:c>
      <x:c r="P10" s="13" t="n">
        <x:f>J10-O10</x:f>
        <x:v>0</x:v>
      </x:c>
    </x:row>
    <x:row r="11" ht="42" customHeight="1">
      <x:c r="A11" s="9" t="str">
        <x:v>BT-000209</x:v>
      </x:c>
      <x:c r="B11" s="9" t="str">
        <x:v>Acer</x:v>
      </x:c>
      <x:c r="C11" s="9" t="str">
        <x:v>Acer Aspire 14 AI A14-52M</x:v>
      </x:c>
      <x:c r="D11" s="9" t="str">
        <x:v>Acer Aspire 14 AI A14-52M · Core Ultra 5 - 226V · có cảm ứng · Intel Arc Graphics</x:v>
      </x:c>
      <x:c r="E11" s="9" t="str">
        <x:v>Core Ultra 5 - 226V</x:v>
      </x:c>
      <x:c r="F11" s="9" t="str">
        <x:v>Intel Arc Graphics</x:v>
      </x:c>
      <x:c r="G11" s="9" t="str">
        <x:v>CÓ CẢM ỨNG</x:v>
      </x:c>
      <x:c r="H11" s="13" t="n">
        <x:v>16</x:v>
      </x:c>
      <x:c r="I11" s="13" t="n">
        <x:v>1024</x:v>
      </x:c>
      <x:c r="J11" s="13" t="n">
        <x:f>COUNTIFS('Tồn theo serial'!$E$9:$E$106,$A11)</x:f>
        <x:v>8</x:v>
      </x:c>
      <x:c r="K11" s="13" t="n">
        <x:f>COUNTIFS('Tồn theo serial'!$E$9:$E$106,$A11,'Tồn theo serial'!$N$9:$N$106,"SẴN SÀNG BÁN")</x:f>
        <x:v>8</x:v>
      </x:c>
      <x:c r="L11" s="13" t="n">
        <x:f>COUNTIFS('Tồn theo serial'!$E$9:$E$106,$A11,'Tồn theo serial'!$N$9:$N$106,"CẦN KIỂM TRA")</x:f>
        <x:v>0</x:v>
      </x:c>
      <x:c r="M11" s="13" t="n">
        <x:f>COUNTIFS('Tồn theo serial'!$E$9:$E$106,$A11,'Tồn theo serial'!$B$9:$B$106,"CẦN XÁC NHẬN")</x:f>
        <x:v>0</x:v>
      </x:c>
      <x:c r="N11" s="13" t="n">
        <x:f>COUNTIFS('Tồn theo serial'!$E$9:$E$106,$A11,'Tồn theo serial'!$B$9:$B$106,"THIẾU THÔNG SỐ")</x:f>
        <x:v>0</x:v>
      </x:c>
      <x:c r="O11" s="13" t="n">
        <x:f>COUNTIFS('Tồn theo serial'!$E$9:$E$106,$A11,'Tồn theo serial'!$O$9:$O$106,"&gt;0")</x:f>
        <x:v>8</x:v>
      </x:c>
      <x:c r="P11" s="13" t="n">
        <x:f>J11-O11</x:f>
        <x:v>0</x:v>
      </x:c>
    </x:row>
    <x:row r="12" ht="42" customHeight="1">
      <x:c r="A12" s="9" t="str">
        <x:v>BT-000127</x:v>
      </x:c>
      <x:c r="B12" s="9" t="str">
        <x:v>Acer</x:v>
      </x:c>
      <x:c r="C12" s="9" t="str">
        <x:v>Acer Aspire 7 A715 - 59G</x:v>
      </x:c>
      <x:c r="D12" s="9" t="str">
        <x:v>Acer Aspire 7 A715 - 59G · Core i7 - 240H · KHÔNG CẢM ỨNG · LAPTOP THƯỜNG · RTX 3050 6GB</x:v>
      </x:c>
      <x:c r="E12" s="9" t="str">
        <x:v>Core i7 - 240H</x:v>
      </x:c>
      <x:c r="F12" s="9" t="str">
        <x:v>RTX 3050 6GB</x:v>
      </x:c>
      <x:c r="G12" s="9" t="str">
        <x:v>KHÔNG CẢM ỨNG</x:v>
      </x:c>
      <x:c r="H12" s="13" t="n">
        <x:v>16</x:v>
      </x:c>
      <x:c r="I12" s="13" t="n">
        <x:v>512</x:v>
      </x:c>
      <x:c r="J12" s="13" t="n">
        <x:f>COUNTIFS('Tồn theo serial'!$E$9:$E$106,$A12)</x:f>
        <x:v>1</x:v>
      </x:c>
      <x:c r="K12" s="13" t="n">
        <x:f>COUNTIFS('Tồn theo serial'!$E$9:$E$106,$A12,'Tồn theo serial'!$N$9:$N$106,"SẴN SÀNG BÁN")</x:f>
        <x:v>1</x:v>
      </x:c>
      <x:c r="L12" s="13" t="n">
        <x:f>COUNTIFS('Tồn theo serial'!$E$9:$E$106,$A12,'Tồn theo serial'!$N$9:$N$106,"CẦN KIỂM TRA")</x:f>
        <x:v>0</x:v>
      </x:c>
      <x:c r="M12" s="13" t="n">
        <x:f>COUNTIFS('Tồn theo serial'!$E$9:$E$106,$A12,'Tồn theo serial'!$B$9:$B$106,"CẦN XÁC NHẬN")</x:f>
        <x:v>0</x:v>
      </x:c>
      <x:c r="N12" s="13" t="n">
        <x:f>COUNTIFS('Tồn theo serial'!$E$9:$E$106,$A12,'Tồn theo serial'!$B$9:$B$106,"THIẾU THÔNG SỐ")</x:f>
        <x:v>0</x:v>
      </x:c>
      <x:c r="O12" s="13" t="n">
        <x:f>COUNTIFS('Tồn theo serial'!$E$9:$E$106,$A12,'Tồn theo serial'!$O$9:$O$106,"&gt;0")</x:f>
        <x:v>1</x:v>
      </x:c>
      <x:c r="P12" s="13" t="n">
        <x:f>J12-O12</x:f>
        <x:v>0</x:v>
      </x:c>
    </x:row>
    <x:row r="13" ht="42" customHeight="1">
      <x:c r="A13" s="9" t="str">
        <x:v>BT-000037</x:v>
      </x:c>
      <x:c r="B13" s="9" t="str">
        <x:v>Apple</x:v>
      </x:c>
      <x:c r="C13" s="9" t="str">
        <x:v>Apple MacBook Air M1</x:v>
      </x:c>
      <x:c r="D13" s="9" t="str">
        <x:v>Apple MacBook Air M1 · Apple M1 · không cảm ứng</x:v>
      </x:c>
      <x:c r="E13" s="9" t="str">
        <x:v>Apple M1</x:v>
      </x:c>
      <x:c r="F13" s="9" t="str">
        <x:v>Apple GPU 7 nhân</x:v>
      </x:c>
      <x:c r="G13" s="9" t="str">
        <x:v>KHÔNG CẢM ỨNG</x:v>
      </x:c>
      <x:c r="H13" s="13" t="n">
        <x:v>8</x:v>
      </x:c>
      <x:c r="I13" s="13" t="n">
        <x:v>256</x:v>
      </x:c>
      <x:c r="J13" s="13" t="n">
        <x:f>COUNTIFS('Tồn theo serial'!$E$9:$E$106,$A13)</x:f>
        <x:v>5</x:v>
      </x:c>
      <x:c r="K13" s="13" t="n">
        <x:f>COUNTIFS('Tồn theo serial'!$E$9:$E$106,$A13,'Tồn theo serial'!$N$9:$N$106,"SẴN SÀNG BÁN")</x:f>
        <x:v>5</x:v>
      </x:c>
      <x:c r="L13" s="13" t="n">
        <x:f>COUNTIFS('Tồn theo serial'!$E$9:$E$106,$A13,'Tồn theo serial'!$N$9:$N$106,"CẦN KIỂM TRA")</x:f>
        <x:v>0</x:v>
      </x:c>
      <x:c r="M13" s="13" t="n">
        <x:f>COUNTIFS('Tồn theo serial'!$E$9:$E$106,$A13,'Tồn theo serial'!$B$9:$B$106,"CẦN XÁC NHẬN")</x:f>
        <x:v>0</x:v>
      </x:c>
      <x:c r="N13" s="13" t="n">
        <x:f>COUNTIFS('Tồn theo serial'!$E$9:$E$106,$A13,'Tồn theo serial'!$B$9:$B$106,"THIẾU THÔNG SỐ")</x:f>
        <x:v>0</x:v>
      </x:c>
      <x:c r="O13" s="13" t="n">
        <x:f>COUNTIFS('Tồn theo serial'!$E$9:$E$106,$A13,'Tồn theo serial'!$O$9:$O$106,"&gt;0")</x:f>
        <x:v>5</x:v>
      </x:c>
      <x:c r="P13" s="13" t="n">
        <x:f>J13-O13</x:f>
        <x:v>0</x:v>
      </x:c>
    </x:row>
    <x:row r="14" ht="42" customHeight="1">
      <x:c r="A14" s="9" t="str">
        <x:v>BT-000205</x:v>
      </x:c>
      <x:c r="B14" s="9" t="str">
        <x:v>Apple</x:v>
      </x:c>
      <x:c r="C14" s="9" t="str">
        <x:v>Apple Macbook Pro M1 2020</x:v>
      </x:c>
      <x:c r="D14" s="9" t="str">
        <x:v>Apple Macbook Pro M1 2020 · Apple M1 · không cảm ứng · Apple GPU 8 nhân</x:v>
      </x:c>
      <x:c r="E14" s="9" t="str">
        <x:v>Apple M1</x:v>
      </x:c>
      <x:c r="F14" s="9" t="str">
        <x:v>Apple GPU 8 nhân</x:v>
      </x:c>
      <x:c r="G14" s="9" t="str">
        <x:v>KHÔNG CẢM ỨNG</x:v>
      </x:c>
      <x:c r="H14" s="13" t="n">
        <x:v>16</x:v>
      </x:c>
      <x:c r="I14" s="13" t="n">
        <x:v>256</x:v>
      </x:c>
      <x:c r="J14" s="13" t="n">
        <x:f>COUNTIFS('Tồn theo serial'!$E$9:$E$106,$A14)</x:f>
        <x:v>1</x:v>
      </x:c>
      <x:c r="K14" s="13" t="n">
        <x:f>COUNTIFS('Tồn theo serial'!$E$9:$E$106,$A14,'Tồn theo serial'!$N$9:$N$106,"SẴN SÀNG BÁN")</x:f>
        <x:v>1</x:v>
      </x:c>
      <x:c r="L14" s="13" t="n">
        <x:f>COUNTIFS('Tồn theo serial'!$E$9:$E$106,$A14,'Tồn theo serial'!$N$9:$N$106,"CẦN KIỂM TRA")</x:f>
        <x:v>0</x:v>
      </x:c>
      <x:c r="M14" s="13" t="n">
        <x:f>COUNTIFS('Tồn theo serial'!$E$9:$E$106,$A14,'Tồn theo serial'!$B$9:$B$106,"CẦN XÁC NHẬN")</x:f>
        <x:v>0</x:v>
      </x:c>
      <x:c r="N14" s="13" t="n">
        <x:f>COUNTIFS('Tồn theo serial'!$E$9:$E$106,$A14,'Tồn theo serial'!$B$9:$B$106,"THIẾU THÔNG SỐ")</x:f>
        <x:v>0</x:v>
      </x:c>
      <x:c r="O14" s="13" t="n">
        <x:f>COUNTIFS('Tồn theo serial'!$E$9:$E$106,$A14,'Tồn theo serial'!$O$9:$O$106,"&gt;0")</x:f>
        <x:v>1</x:v>
      </x:c>
      <x:c r="P14" s="13" t="n">
        <x:f>J14-O14</x:f>
        <x:v>0</x:v>
      </x:c>
    </x:row>
    <x:row r="15" ht="42" customHeight="1">
      <x:c r="A15" s="9" t="str">
        <x:v>BT-000217</x:v>
      </x:c>
      <x:c r="B15" s="9" t="str">
        <x:v>Apple</x:v>
      </x:c>
      <x:c r="C15" s="9" t="str">
        <x:v>Apple Macbook Pro M2 2022</x:v>
      </x:c>
      <x:c r="D15" s="9" t="str">
        <x:v>Apple Macbook Pro M2 2022 · Apple M2 · không cảm ứng · Apple GPU 10 nhân</x:v>
      </x:c>
      <x:c r="E15" s="9" t="str">
        <x:v>Apple M2</x:v>
      </x:c>
      <x:c r="F15" s="9" t="str">
        <x:v>Apple GPU 10 nhân</x:v>
      </x:c>
      <x:c r="G15" s="9" t="str">
        <x:v>KHÔNG CẢM ỨNG</x:v>
      </x:c>
      <x:c r="H15" s="13" t="n">
        <x:v>16</x:v>
      </x:c>
      <x:c r="I15" s="13" t="n">
        <x:v>512</x:v>
      </x:c>
      <x:c r="J15" s="13" t="n">
        <x:f>COUNTIFS('Tồn theo serial'!$E$9:$E$106,$A15)</x:f>
        <x:v>1</x:v>
      </x:c>
      <x:c r="K15" s="13" t="n">
        <x:f>COUNTIFS('Tồn theo serial'!$E$9:$E$106,$A15,'Tồn theo serial'!$N$9:$N$106,"SẴN SÀNG BÁN")</x:f>
        <x:v>1</x:v>
      </x:c>
      <x:c r="L15" s="13" t="n">
        <x:f>COUNTIFS('Tồn theo serial'!$E$9:$E$106,$A15,'Tồn theo serial'!$N$9:$N$106,"CẦN KIỂM TRA")</x:f>
        <x:v>0</x:v>
      </x:c>
      <x:c r="M15" s="13" t="n">
        <x:f>COUNTIFS('Tồn theo serial'!$E$9:$E$106,$A15,'Tồn theo serial'!$B$9:$B$106,"CẦN XÁC NHẬN")</x:f>
        <x:v>0</x:v>
      </x:c>
      <x:c r="N15" s="13" t="n">
        <x:f>COUNTIFS('Tồn theo serial'!$E$9:$E$106,$A15,'Tồn theo serial'!$B$9:$B$106,"THIẾU THÔNG SỐ")</x:f>
        <x:v>0</x:v>
      </x:c>
      <x:c r="O15" s="13" t="n">
        <x:f>COUNTIFS('Tồn theo serial'!$E$9:$E$106,$A15,'Tồn theo serial'!$O$9:$O$106,"&gt;0")</x:f>
        <x:v>1</x:v>
      </x:c>
      <x:c r="P15" s="13" t="n">
        <x:f>J15-O15</x:f>
        <x:v>0</x:v>
      </x:c>
    </x:row>
    <x:row r="16" ht="42" customHeight="1">
      <x:c r="A16" s="9" t="str">
        <x:v>BT-000219</x:v>
      </x:c>
      <x:c r="B16" s="9" t="str">
        <x:v>ASUS</x:v>
      </x:c>
      <x:c r="C16" s="9" t="str">
        <x:v>ASUS Vivobook 14 X1404ZA</x:v>
      </x:c>
      <x:c r="D16" s="9" t="str">
        <x:v>ASUS Vivobook 14 X1404ZA · Core i5-1235U · không cảm ứng · Intel Iris Xe Graphics</x:v>
      </x:c>
      <x:c r="E16" s="9" t="str">
        <x:v>Core i5-1235U</x:v>
      </x:c>
      <x:c r="F16" s="9" t="str">
        <x:v>Intel Iris Xe Graphics</x:v>
      </x:c>
      <x:c r="G16" s="9" t="str">
        <x:v>KHÔNG CẢM ỨNG</x:v>
      </x:c>
      <x:c r="H16" s="13" t="n">
        <x:v>16</x:v>
      </x:c>
      <x:c r="I16" s="13" t="n">
        <x:v>512</x:v>
      </x:c>
      <x:c r="J16" s="13" t="n">
        <x:f>COUNTIFS('Tồn theo serial'!$E$9:$E$106,$A16)</x:f>
        <x:v>1</x:v>
      </x:c>
      <x:c r="K16" s="13" t="n">
        <x:f>COUNTIFS('Tồn theo serial'!$E$9:$E$106,$A16,'Tồn theo serial'!$N$9:$N$106,"SẴN SÀNG BÁN")</x:f>
        <x:v>1</x:v>
      </x:c>
      <x:c r="L16" s="13" t="n">
        <x:f>COUNTIFS('Tồn theo serial'!$E$9:$E$106,$A16,'Tồn theo serial'!$N$9:$N$106,"CẦN KIỂM TRA")</x:f>
        <x:v>0</x:v>
      </x:c>
      <x:c r="M16" s="13" t="n">
        <x:f>COUNTIFS('Tồn theo serial'!$E$9:$E$106,$A16,'Tồn theo serial'!$B$9:$B$106,"CẦN XÁC NHẬN")</x:f>
        <x:v>0</x:v>
      </x:c>
      <x:c r="N16" s="13" t="n">
        <x:f>COUNTIFS('Tồn theo serial'!$E$9:$E$106,$A16,'Tồn theo serial'!$B$9:$B$106,"THIẾU THÔNG SỐ")</x:f>
        <x:v>0</x:v>
      </x:c>
      <x:c r="O16" s="13" t="n">
        <x:f>COUNTIFS('Tồn theo serial'!$E$9:$E$106,$A16,'Tồn theo serial'!$O$9:$O$106,"&gt;0")</x:f>
        <x:v>1</x:v>
      </x:c>
      <x:c r="P16" s="13" t="n">
        <x:f>J16-O16</x:f>
        <x:v>0</x:v>
      </x:c>
    </x:row>
    <x:row r="17" ht="42" customHeight="1">
      <x:c r="A17" s="9" t="str">
        <x:v>BT-000222</x:v>
      </x:c>
      <x:c r="B17" s="9" t="str">
        <x:v>ASUS</x:v>
      </x:c>
      <x:c r="C17" s="9" t="str">
        <x:v>ASUS Vivobook 15 X1502VA</x:v>
      </x:c>
      <x:c r="D17" s="9" t="str">
        <x:v>ASUS Vivobook 15 X1502VA · Intel Core i5-13420H · không cảm ứng · Intel UHD Graphics</x:v>
      </x:c>
      <x:c r="E17" s="9" t="str">
        <x:v>Intel Core i5-13420H</x:v>
      </x:c>
      <x:c r="F17" s="9" t="str">
        <x:v>Intel UHD Graphics</x:v>
      </x:c>
      <x:c r="G17" s="9" t="str">
        <x:v>KHÔNG CẢM ỨNG</x:v>
      </x:c>
      <x:c r="H17" s="13" t="n">
        <x:v>16</x:v>
      </x:c>
      <x:c r="I17" s="13" t="n">
        <x:v>512</x:v>
      </x:c>
      <x:c r="J17" s="13" t="n">
        <x:f>COUNTIFS('Tồn theo serial'!$E$9:$E$106,$A17)</x:f>
        <x:v>1</x:v>
      </x:c>
      <x:c r="K17" s="13" t="n">
        <x:f>COUNTIFS('Tồn theo serial'!$E$9:$E$106,$A17,'Tồn theo serial'!$N$9:$N$106,"SẴN SÀNG BÁN")</x:f>
        <x:v>1</x:v>
      </x:c>
      <x:c r="L17" s="13" t="n">
        <x:f>COUNTIFS('Tồn theo serial'!$E$9:$E$106,$A17,'Tồn theo serial'!$N$9:$N$106,"CẦN KIỂM TRA")</x:f>
        <x:v>0</x:v>
      </x:c>
      <x:c r="M17" s="13" t="n">
        <x:f>COUNTIFS('Tồn theo serial'!$E$9:$E$106,$A17,'Tồn theo serial'!$B$9:$B$106,"CẦN XÁC NHẬN")</x:f>
        <x:v>0</x:v>
      </x:c>
      <x:c r="N17" s="13" t="n">
        <x:f>COUNTIFS('Tồn theo serial'!$E$9:$E$106,$A17,'Tồn theo serial'!$B$9:$B$106,"THIẾU THÔNG SỐ")</x:f>
        <x:v>0</x:v>
      </x:c>
      <x:c r="O17" s="13" t="n">
        <x:f>COUNTIFS('Tồn theo serial'!$E$9:$E$106,$A17,'Tồn theo serial'!$O$9:$O$106,"&gt;0")</x:f>
        <x:v>0</x:v>
      </x:c>
      <x:c r="P17" s="13" t="n">
        <x:f>J17-O17</x:f>
        <x:v>1</x:v>
      </x:c>
    </x:row>
    <x:row r="18" ht="42" customHeight="1">
      <x:c r="A18" s="9" t="str">
        <x:v>BT-000227</x:v>
      </x:c>
      <x:c r="B18" s="9" t="str">
        <x:v>ASUS</x:v>
      </x:c>
      <x:c r="C18" s="9" t="str">
        <x:v>ASUS Vivobook 15X M3504YA - L1268W</x:v>
      </x:c>
      <x:c r="D18" s="9" t="str">
        <x:v>ASUS Vivobook 15X M3504YA - L1268W · Core I5 - 12500H · không cảm ứng · Intel Iris Xe Graphics</x:v>
      </x:c>
      <x:c r="E18" s="9" t="str">
        <x:v>Core I5 - 12500H</x:v>
      </x:c>
      <x:c r="F18" s="9" t="str">
        <x:v>Intel Iris Xe Graphics</x:v>
      </x:c>
      <x:c r="G18" s="9" t="str">
        <x:v>KHÔNG CẢM ỨNG</x:v>
      </x:c>
      <x:c r="H18" s="13" t="n">
        <x:v>8</x:v>
      </x:c>
      <x:c r="I18" s="13" t="n">
        <x:v>512</x:v>
      </x:c>
      <x:c r="J18" s="13" t="n">
        <x:f>COUNTIFS('Tồn theo serial'!$E$9:$E$106,$A18)</x:f>
        <x:v>1</x:v>
      </x:c>
      <x:c r="K18" s="13" t="n">
        <x:f>COUNTIFS('Tồn theo serial'!$E$9:$E$106,$A18,'Tồn theo serial'!$N$9:$N$106,"SẴN SÀNG BÁN")</x:f>
        <x:v>1</x:v>
      </x:c>
      <x:c r="L18" s="13" t="n">
        <x:f>COUNTIFS('Tồn theo serial'!$E$9:$E$106,$A18,'Tồn theo serial'!$N$9:$N$106,"CẦN KIỂM TRA")</x:f>
        <x:v>0</x:v>
      </x:c>
      <x:c r="M18" s="13" t="n">
        <x:f>COUNTIFS('Tồn theo serial'!$E$9:$E$106,$A18,'Tồn theo serial'!$B$9:$B$106,"CẦN XÁC NHẬN")</x:f>
        <x:v>1</x:v>
      </x:c>
      <x:c r="N18" s="13" t="n">
        <x:f>COUNTIFS('Tồn theo serial'!$E$9:$E$106,$A18,'Tồn theo serial'!$B$9:$B$106,"THIẾU THÔNG SỐ")</x:f>
        <x:v>0</x:v>
      </x:c>
      <x:c r="O18" s="13" t="n">
        <x:f>COUNTIFS('Tồn theo serial'!$E$9:$E$106,$A18,'Tồn theo serial'!$O$9:$O$106,"&gt;0")</x:f>
        <x:v>0</x:v>
      </x:c>
      <x:c r="P18" s="13" t="n">
        <x:f>J18-O18</x:f>
        <x:v>1</x:v>
      </x:c>
    </x:row>
    <x:row r="19" ht="42" customHeight="1">
      <x:c r="A19" s="9" t="str">
        <x:v>BT-000123</x:v>
      </x:c>
      <x:c r="B19" s="9" t="str">
        <x:v>ASUS</x:v>
      </x:c>
      <x:c r="C19" s="9" t="str">
        <x:v>ASUS Vivobook 16 X1607CA</x:v>
      </x:c>
      <x:c r="D19" s="9" t="str">
        <x:v>ASUS Vivobook 16 X1607CA · Ultra 5 225H · KHÔNG CẢM ỨNG · LAPTOP THƯỜNG</x:v>
      </x:c>
      <x:c r="E19" s="9" t="str">
        <x:v>Ultra 5 225H</x:v>
      </x:c>
      <x:c r="F19" s="9"/>
      <x:c r="G19" s="9" t="str">
        <x:v>KHÔNG CẢM ỨNG</x:v>
      </x:c>
      <x:c r="H19" s="13" t="n">
        <x:v>16</x:v>
      </x:c>
      <x:c r="I19" s="13" t="n">
        <x:v>512</x:v>
      </x:c>
      <x:c r="J19" s="13" t="n">
        <x:f>COUNTIFS('Tồn theo serial'!$E$9:$E$106,$A19)</x:f>
        <x:v>1</x:v>
      </x:c>
      <x:c r="K19" s="13" t="n">
        <x:f>COUNTIFS('Tồn theo serial'!$E$9:$E$106,$A19,'Tồn theo serial'!$N$9:$N$106,"SẴN SÀNG BÁN")</x:f>
        <x:v>1</x:v>
      </x:c>
      <x:c r="L19" s="13" t="n">
        <x:f>COUNTIFS('Tồn theo serial'!$E$9:$E$106,$A19,'Tồn theo serial'!$N$9:$N$106,"CẦN KIỂM TRA")</x:f>
        <x:v>0</x:v>
      </x:c>
      <x:c r="M19" s="13" t="n">
        <x:f>COUNTIFS('Tồn theo serial'!$E$9:$E$106,$A19,'Tồn theo serial'!$B$9:$B$106,"CẦN XÁC NHẬN")</x:f>
        <x:v>0</x:v>
      </x:c>
      <x:c r="N19" s="13" t="n">
        <x:f>COUNTIFS('Tồn theo serial'!$E$9:$E$106,$A19,'Tồn theo serial'!$B$9:$B$106,"THIẾU THÔNG SỐ")</x:f>
        <x:v>1</x:v>
      </x:c>
      <x:c r="O19" s="13" t="n">
        <x:f>COUNTIFS('Tồn theo serial'!$E$9:$E$106,$A19,'Tồn theo serial'!$O$9:$O$106,"&gt;0")</x:f>
        <x:v>1</x:v>
      </x:c>
      <x:c r="P19" s="13" t="n">
        <x:f>J19-O19</x:f>
        <x:v>0</x:v>
      </x:c>
    </x:row>
    <x:row r="20" ht="42" customHeight="1">
      <x:c r="A20" s="9" t="str">
        <x:v>BT-000225</x:v>
      </x:c>
      <x:c r="B20" s="9" t="str">
        <x:v>ASUS</x:v>
      </x:c>
      <x:c r="C20" s="9" t="str">
        <x:v>ASUS Vivobook 16X K3605VC</x:v>
      </x:c>
      <x:c r="D20" s="9" t="str">
        <x:v>ASUS Vivobook 16X K3605VC · Core I7 - 13620H · không cảm ứng · RTX 3050 4GB</x:v>
      </x:c>
      <x:c r="E20" s="9" t="str">
        <x:v>Core I7 - 13620H</x:v>
      </x:c>
      <x:c r="F20" s="9" t="str">
        <x:v>RTX 3050 4GB</x:v>
      </x:c>
      <x:c r="G20" s="9" t="str">
        <x:v>KHÔNG CẢM ỨNG</x:v>
      </x:c>
      <x:c r="H20" s="13" t="n">
        <x:v>16</x:v>
      </x:c>
      <x:c r="I20" s="13" t="n">
        <x:v>512</x:v>
      </x:c>
      <x:c r="J20" s="13" t="n">
        <x:f>COUNTIFS('Tồn theo serial'!$E$9:$E$106,$A20)</x:f>
        <x:v>1</x:v>
      </x:c>
      <x:c r="K20" s="13" t="n">
        <x:f>COUNTIFS('Tồn theo serial'!$E$9:$E$106,$A20,'Tồn theo serial'!$N$9:$N$106,"SẴN SÀNG BÁN")</x:f>
        <x:v>1</x:v>
      </x:c>
      <x:c r="L20" s="13" t="n">
        <x:f>COUNTIFS('Tồn theo serial'!$E$9:$E$106,$A20,'Tồn theo serial'!$N$9:$N$106,"CẦN KIỂM TRA")</x:f>
        <x:v>0</x:v>
      </x:c>
      <x:c r="M20" s="13" t="n">
        <x:f>COUNTIFS('Tồn theo serial'!$E$9:$E$106,$A20,'Tồn theo serial'!$B$9:$B$106,"CẦN XÁC NHẬN")</x:f>
        <x:v>0</x:v>
      </x:c>
      <x:c r="N20" s="13" t="n">
        <x:f>COUNTIFS('Tồn theo serial'!$E$9:$E$106,$A20,'Tồn theo serial'!$B$9:$B$106,"THIẾU THÔNG SỐ")</x:f>
        <x:v>0</x:v>
      </x:c>
      <x:c r="O20" s="13" t="n">
        <x:f>COUNTIFS('Tồn theo serial'!$E$9:$E$106,$A20,'Tồn theo serial'!$O$9:$O$106,"&gt;0")</x:f>
        <x:v>0</x:v>
      </x:c>
      <x:c r="P20" s="13" t="n">
        <x:f>J20-O20</x:f>
        <x:v>1</x:v>
      </x:c>
    </x:row>
    <x:row r="21" ht="42" customHeight="1">
      <x:c r="A21" s="9" t="str">
        <x:v>BT-000223</x:v>
      </x:c>
      <x:c r="B21" s="9" t="str">
        <x:v>ASUS</x:v>
      </x:c>
      <x:c r="C21" s="9" t="str">
        <x:v>ASUS Vivobook s14 S3407QA</x:v>
      </x:c>
      <x:c r="D21" s="9" t="str">
        <x:v>ASUS Vivobook s14 S3407QA · Snapdragon X X1 26 100 · không cảm ứng · Qualcomm Adreno</x:v>
      </x:c>
      <x:c r="E21" s="9" t="str">
        <x:v>Snapdragon X X1 26 100</x:v>
      </x:c>
      <x:c r="F21" s="9" t="str">
        <x:v>Qualcomm Adreno</x:v>
      </x:c>
      <x:c r="G21" s="9" t="str">
        <x:v>KHÔNG CẢM ỨNG</x:v>
      </x:c>
      <x:c r="H21" s="13" t="n">
        <x:v>16</x:v>
      </x:c>
      <x:c r="I21" s="13" t="n">
        <x:v>512</x:v>
      </x:c>
      <x:c r="J21" s="13" t="n">
        <x:f>COUNTIFS('Tồn theo serial'!$E$9:$E$106,$A21)</x:f>
        <x:v>1</x:v>
      </x:c>
      <x:c r="K21" s="13" t="n">
        <x:f>COUNTIFS('Tồn theo serial'!$E$9:$E$106,$A21,'Tồn theo serial'!$N$9:$N$106,"SẴN SÀNG BÁN")</x:f>
        <x:v>1</x:v>
      </x:c>
      <x:c r="L21" s="13" t="n">
        <x:f>COUNTIFS('Tồn theo serial'!$E$9:$E$106,$A21,'Tồn theo serial'!$N$9:$N$106,"CẦN KIỂM TRA")</x:f>
        <x:v>0</x:v>
      </x:c>
      <x:c r="M21" s="13" t="n">
        <x:f>COUNTIFS('Tồn theo serial'!$E$9:$E$106,$A21,'Tồn theo serial'!$B$9:$B$106,"CẦN XÁC NHẬN")</x:f>
        <x:v>0</x:v>
      </x:c>
      <x:c r="N21" s="13" t="n">
        <x:f>COUNTIFS('Tồn theo serial'!$E$9:$E$106,$A21,'Tồn theo serial'!$B$9:$B$106,"THIẾU THÔNG SỐ")</x:f>
        <x:v>0</x:v>
      </x:c>
      <x:c r="O21" s="13" t="n">
        <x:f>COUNTIFS('Tồn theo serial'!$E$9:$E$106,$A21,'Tồn theo serial'!$O$9:$O$106,"&gt;0")</x:f>
        <x:v>1</x:v>
      </x:c>
      <x:c r="P21" s="13" t="n">
        <x:f>J21-O21</x:f>
        <x:v>0</x:v>
      </x:c>
    </x:row>
    <x:row r="22" ht="42" customHeight="1">
      <x:c r="A22" s="9" t="str">
        <x:v>BT-000126</x:v>
      </x:c>
      <x:c r="B22" s="9" t="str">
        <x:v>ASUS</x:v>
      </x:c>
      <x:c r="C22" s="9" t="str">
        <x:v>ASUS Vivobook S16 S3607VA - RP056W</x:v>
      </x:c>
      <x:c r="D22" s="9" t="str">
        <x:v>ASUS Vivobook S16 S3607VA - RP056W · Core 7 - 13620H · KHÔNG CẢM ỨNG · LAPTOP THƯỜNG</x:v>
      </x:c>
      <x:c r="E22" s="9" t="str">
        <x:v>Core 7 - 13620H</x:v>
      </x:c>
      <x:c r="F22" s="9"/>
      <x:c r="G22" s="9" t="str">
        <x:v>KHÔNG CẢM ỨNG</x:v>
      </x:c>
      <x:c r="H22" s="13" t="n">
        <x:v>16</x:v>
      </x:c>
      <x:c r="I22" s="13" t="n">
        <x:v>512</x:v>
      </x:c>
      <x:c r="J22" s="13" t="n">
        <x:f>COUNTIFS('Tồn theo serial'!$E$9:$E$106,$A22)</x:f>
        <x:v>1</x:v>
      </x:c>
      <x:c r="K22" s="13" t="n">
        <x:f>COUNTIFS('Tồn theo serial'!$E$9:$E$106,$A22,'Tồn theo serial'!$N$9:$N$106,"SẴN SÀNG BÁN")</x:f>
        <x:v>1</x:v>
      </x:c>
      <x:c r="L22" s="13" t="n">
        <x:f>COUNTIFS('Tồn theo serial'!$E$9:$E$106,$A22,'Tồn theo serial'!$N$9:$N$106,"CẦN KIỂM TRA")</x:f>
        <x:v>0</x:v>
      </x:c>
      <x:c r="M22" s="13" t="n">
        <x:f>COUNTIFS('Tồn theo serial'!$E$9:$E$106,$A22,'Tồn theo serial'!$B$9:$B$106,"CẦN XÁC NHẬN")</x:f>
        <x:v>0</x:v>
      </x:c>
      <x:c r="N22" s="13" t="n">
        <x:f>COUNTIFS('Tồn theo serial'!$E$9:$E$106,$A22,'Tồn theo serial'!$B$9:$B$106,"THIẾU THÔNG SỐ")</x:f>
        <x:v>1</x:v>
      </x:c>
      <x:c r="O22" s="13" t="n">
        <x:f>COUNTIFS('Tồn theo serial'!$E$9:$E$106,$A22,'Tồn theo serial'!$O$9:$O$106,"&gt;0")</x:f>
        <x:v>1</x:v>
      </x:c>
      <x:c r="P22" s="13" t="n">
        <x:f>J22-O22</x:f>
        <x:v>0</x:v>
      </x:c>
    </x:row>
    <x:row r="23" ht="42" customHeight="1">
      <x:c r="A23" s="9" t="str">
        <x:v>BT-000203</x:v>
      </x:c>
      <x:c r="B23" s="9" t="str">
        <x:v>Dell</x:v>
      </x:c>
      <x:c r="C23" s="9" t="str">
        <x:v>Dell DC DC14250</x:v>
      </x:c>
      <x:c r="D23" s="9" t="str">
        <x:v>Dell DC DC14250 · Core 5 120U · không cảm ứng · Intel Graphics</x:v>
      </x:c>
      <x:c r="E23" s="9" t="str">
        <x:v>Core 5 120U</x:v>
      </x:c>
      <x:c r="F23" s="9" t="str">
        <x:v>Intel Graphics</x:v>
      </x:c>
      <x:c r="G23" s="9" t="str">
        <x:v>KHÔNG CẢM ỨNG</x:v>
      </x:c>
      <x:c r="H23" s="13" t="n">
        <x:v>16</x:v>
      </x:c>
      <x:c r="I23" s="13" t="n">
        <x:v>512</x:v>
      </x:c>
      <x:c r="J23" s="13" t="n">
        <x:f>COUNTIFS('Tồn theo serial'!$E$9:$E$106,$A23)</x:f>
        <x:v>1</x:v>
      </x:c>
      <x:c r="K23" s="13" t="n">
        <x:f>COUNTIFS('Tồn theo serial'!$E$9:$E$106,$A23,'Tồn theo serial'!$N$9:$N$106,"SẴN SÀNG BÁN")</x:f>
        <x:v>1</x:v>
      </x:c>
      <x:c r="L23" s="13" t="n">
        <x:f>COUNTIFS('Tồn theo serial'!$E$9:$E$106,$A23,'Tồn theo serial'!$N$9:$N$106,"CẦN KIỂM TRA")</x:f>
        <x:v>0</x:v>
      </x:c>
      <x:c r="M23" s="13" t="n">
        <x:f>COUNTIFS('Tồn theo serial'!$E$9:$E$106,$A23,'Tồn theo serial'!$B$9:$B$106,"CẦN XÁC NHẬN")</x:f>
        <x:v>0</x:v>
      </x:c>
      <x:c r="N23" s="13" t="n">
        <x:f>COUNTIFS('Tồn theo serial'!$E$9:$E$106,$A23,'Tồn theo serial'!$B$9:$B$106,"THIẾU THÔNG SỐ")</x:f>
        <x:v>0</x:v>
      </x:c>
      <x:c r="O23" s="13" t="n">
        <x:f>COUNTIFS('Tồn theo serial'!$E$9:$E$106,$A23,'Tồn theo serial'!$O$9:$O$106,"&gt;0")</x:f>
        <x:v>1</x:v>
      </x:c>
      <x:c r="P23" s="13" t="n">
        <x:f>J23-O23</x:f>
        <x:v>0</x:v>
      </x:c>
    </x:row>
    <x:row r="24" ht="42" customHeight="1">
      <x:c r="A24" s="9" t="str">
        <x:v>BT-000181</x:v>
      </x:c>
      <x:c r="B24" s="9" t="str">
        <x:v>Dell</x:v>
      </x:c>
      <x:c r="C24" s="9" t="str">
        <x:v>Dell Latitude 5421</x:v>
      </x:c>
      <x:c r="D24" s="9" t="str">
        <x:v>Dell Latitude 5421 · Core i5-11400H · không cảm ứng · Intel UHD Graphics</x:v>
      </x:c>
      <x:c r="E24" s="9" t="str">
        <x:v>Core i5-11400H</x:v>
      </x:c>
      <x:c r="F24" s="9" t="str">
        <x:v>Intel UHD Graphics</x:v>
      </x:c>
      <x:c r="G24" s="9" t="str">
        <x:v>KHÔNG CẢM ỨNG</x:v>
      </x:c>
      <x:c r="H24" s="13" t="n">
        <x:v>16</x:v>
      </x:c>
      <x:c r="I24" s="13" t="n">
        <x:v>256</x:v>
      </x:c>
      <x:c r="J24" s="13" t="n">
        <x:f>COUNTIFS('Tồn theo serial'!$E$9:$E$106,$A24)</x:f>
        <x:v>6</x:v>
      </x:c>
      <x:c r="K24" s="13" t="n">
        <x:f>COUNTIFS('Tồn theo serial'!$E$9:$E$106,$A24,'Tồn theo serial'!$N$9:$N$106,"SẴN SÀNG BÁN")</x:f>
        <x:v>6</x:v>
      </x:c>
      <x:c r="L24" s="13" t="n">
        <x:f>COUNTIFS('Tồn theo serial'!$E$9:$E$106,$A24,'Tồn theo serial'!$N$9:$N$106,"CẦN KIỂM TRA")</x:f>
        <x:v>0</x:v>
      </x:c>
      <x:c r="M24" s="13" t="n">
        <x:f>COUNTIFS('Tồn theo serial'!$E$9:$E$106,$A24,'Tồn theo serial'!$B$9:$B$106,"CẦN XÁC NHẬN")</x:f>
        <x:v>0</x:v>
      </x:c>
      <x:c r="N24" s="13" t="n">
        <x:f>COUNTIFS('Tồn theo serial'!$E$9:$E$106,$A24,'Tồn theo serial'!$B$9:$B$106,"THIẾU THÔNG SỐ")</x:f>
        <x:v>0</x:v>
      </x:c>
      <x:c r="O24" s="13" t="n">
        <x:f>COUNTIFS('Tồn theo serial'!$E$9:$E$106,$A24,'Tồn theo serial'!$O$9:$O$106,"&gt;0")</x:f>
        <x:v>6</x:v>
      </x:c>
      <x:c r="P24" s="13" t="n">
        <x:f>J24-O24</x:f>
        <x:v>0</x:v>
      </x:c>
    </x:row>
    <x:row r="25" ht="42" customHeight="1">
      <x:c r="A25" s="9" t="str">
        <x:v>BT-000213</x:v>
      </x:c>
      <x:c r="B25" s="9" t="str">
        <x:v>Dell</x:v>
      </x:c>
      <x:c r="C25" s="9" t="str">
        <x:v>Dell Latitude 5430</x:v>
      </x:c>
      <x:c r="D25" s="9" t="str">
        <x:v>Dell Latitude 5430 · Core i7-1265U · không cảm ứng · Intel Iris Xe Graphics</x:v>
      </x:c>
      <x:c r="E25" s="9" t="str">
        <x:v>Core i7-1265U</x:v>
      </x:c>
      <x:c r="F25" s="9" t="str">
        <x:v>Intel Iris Xe Graphics</x:v>
      </x:c>
      <x:c r="G25" s="9" t="str">
        <x:v>KHÔNG CẢM ỨNG</x:v>
      </x:c>
      <x:c r="H25" s="13" t="n">
        <x:v>16</x:v>
      </x:c>
      <x:c r="I25" s="13" t="n">
        <x:v>512</x:v>
      </x:c>
      <x:c r="J25" s="13" t="n">
        <x:f>COUNTIFS('Tồn theo serial'!$E$9:$E$106,$A25)</x:f>
        <x:v>3</x:v>
      </x:c>
      <x:c r="K25" s="13" t="n">
        <x:f>COUNTIFS('Tồn theo serial'!$E$9:$E$106,$A25,'Tồn theo serial'!$N$9:$N$106,"SẴN SÀNG BÁN")</x:f>
        <x:v>3</x:v>
      </x:c>
      <x:c r="L25" s="13" t="n">
        <x:f>COUNTIFS('Tồn theo serial'!$E$9:$E$106,$A25,'Tồn theo serial'!$N$9:$N$106,"CẦN KIỂM TRA")</x:f>
        <x:v>0</x:v>
      </x:c>
      <x:c r="M25" s="13" t="n">
        <x:f>COUNTIFS('Tồn theo serial'!$E$9:$E$106,$A25,'Tồn theo serial'!$B$9:$B$106,"CẦN XÁC NHẬN")</x:f>
        <x:v>0</x:v>
      </x:c>
      <x:c r="N25" s="13" t="n">
        <x:f>COUNTIFS('Tồn theo serial'!$E$9:$E$106,$A25,'Tồn theo serial'!$B$9:$B$106,"THIẾU THÔNG SỐ")</x:f>
        <x:v>0</x:v>
      </x:c>
      <x:c r="O25" s="13" t="n">
        <x:f>COUNTIFS('Tồn theo serial'!$E$9:$E$106,$A25,'Tồn theo serial'!$O$9:$O$106,"&gt;0")</x:f>
        <x:v>3</x:v>
      </x:c>
      <x:c r="P25" s="13" t="n">
        <x:f>J25-O25</x:f>
        <x:v>0</x:v>
      </x:c>
    </x:row>
    <x:row r="26" ht="42" customHeight="1">
      <x:c r="A26" s="9" t="str">
        <x:v>BT-000065</x:v>
      </x:c>
      <x:c r="B26" s="9" t="str">
        <x:v>Dell</x:v>
      </x:c>
      <x:c r="C26" s="9" t="str">
        <x:v>Dell Latitude 5440</x:v>
      </x:c>
      <x:c r="D26" s="9" t="str">
        <x:v>Dell Latitude 5440 · Core i5-1350P · không cảm ứng</x:v>
      </x:c>
      <x:c r="E26" s="9" t="str">
        <x:v>Intel Core i5-1350P</x:v>
      </x:c>
      <x:c r="F26" s="9" t="str">
        <x:v>Intel UHD Graphics</x:v>
      </x:c>
      <x:c r="G26" s="9" t="str">
        <x:v>KHÔNG CẢM ỨNG</x:v>
      </x:c>
      <x:c r="H26" s="13" t="n">
        <x:v>16</x:v>
      </x:c>
      <x:c r="I26" s="13" t="n">
        <x:v>256</x:v>
      </x:c>
      <x:c r="J26" s="13" t="n">
        <x:f>COUNTIFS('Tồn theo serial'!$E$9:$E$106,$A26)</x:f>
        <x:v>5</x:v>
      </x:c>
      <x:c r="K26" s="13" t="n">
        <x:f>COUNTIFS('Tồn theo serial'!$E$9:$E$106,$A26,'Tồn theo serial'!$N$9:$N$106,"SẴN SÀNG BÁN")</x:f>
        <x:v>5</x:v>
      </x:c>
      <x:c r="L26" s="13" t="n">
        <x:f>COUNTIFS('Tồn theo serial'!$E$9:$E$106,$A26,'Tồn theo serial'!$N$9:$N$106,"CẦN KIỂM TRA")</x:f>
        <x:v>0</x:v>
      </x:c>
      <x:c r="M26" s="13" t="n">
        <x:f>COUNTIFS('Tồn theo serial'!$E$9:$E$106,$A26,'Tồn theo serial'!$B$9:$B$106,"CẦN XÁC NHẬN")</x:f>
        <x:v>0</x:v>
      </x:c>
      <x:c r="N26" s="13" t="n">
        <x:f>COUNTIFS('Tồn theo serial'!$E$9:$E$106,$A26,'Tồn theo serial'!$B$9:$B$106,"THIẾU THÔNG SỐ")</x:f>
        <x:v>0</x:v>
      </x:c>
      <x:c r="O26" s="13" t="n">
        <x:f>COUNTIFS('Tồn theo serial'!$E$9:$E$106,$A26,'Tồn theo serial'!$O$9:$O$106,"&gt;0")</x:f>
        <x:v>5</x:v>
      </x:c>
      <x:c r="P26" s="13" t="n">
        <x:f>J26-O26</x:f>
        <x:v>0</x:v>
      </x:c>
    </x:row>
    <x:row r="27" ht="42" customHeight="1">
      <x:c r="A27" s="9" t="str">
        <x:v>BT-000121</x:v>
      </x:c>
      <x:c r="B27" s="9" t="str">
        <x:v>Dell</x:v>
      </x:c>
      <x:c r="C27" s="9" t="str">
        <x:v>Dell Latitude 7320</x:v>
      </x:c>
      <x:c r="D27" s="9" t="str">
        <x:v>Dell Latitude 7320 · Core i5 - 1135G7 · KHÔNG CẢM ỨNG · LAPTOP THƯỜNG</x:v>
      </x:c>
      <x:c r="E27" s="9" t="str">
        <x:v>Core i5 - 1135G7</x:v>
      </x:c>
      <x:c r="F27" s="9"/>
      <x:c r="G27" s="9" t="str">
        <x:v>KHÔNG CẢM ỨNG</x:v>
      </x:c>
      <x:c r="H27" s="13"/>
      <x:c r="I27" s="13"/>
      <x:c r="J27" s="13" t="n">
        <x:f>COUNTIFS('Tồn theo serial'!$E$9:$E$106,$A27)</x:f>
        <x:v>1</x:v>
      </x:c>
      <x:c r="K27" s="13" t="n">
        <x:f>COUNTIFS('Tồn theo serial'!$E$9:$E$106,$A27,'Tồn theo serial'!$N$9:$N$106,"SẴN SÀNG BÁN")</x:f>
        <x:v>1</x:v>
      </x:c>
      <x:c r="L27" s="13" t="n">
        <x:f>COUNTIFS('Tồn theo serial'!$E$9:$E$106,$A27,'Tồn theo serial'!$N$9:$N$106,"CẦN KIỂM TRA")</x:f>
        <x:v>0</x:v>
      </x:c>
      <x:c r="M27" s="13" t="n">
        <x:f>COUNTIFS('Tồn theo serial'!$E$9:$E$106,$A27,'Tồn theo serial'!$B$9:$B$106,"CẦN XÁC NHẬN")</x:f>
        <x:v>0</x:v>
      </x:c>
      <x:c r="N27" s="13" t="n">
        <x:f>COUNTIFS('Tồn theo serial'!$E$9:$E$106,$A27,'Tồn theo serial'!$B$9:$B$106,"THIẾU THÔNG SỐ")</x:f>
        <x:v>1</x:v>
      </x:c>
      <x:c r="O27" s="13" t="n">
        <x:f>COUNTIFS('Tồn theo serial'!$E$9:$E$106,$A27,'Tồn theo serial'!$O$9:$O$106,"&gt;0")</x:f>
        <x:v>1</x:v>
      </x:c>
      <x:c r="P27" s="13" t="n">
        <x:f>J27-O27</x:f>
        <x:v>0</x:v>
      </x:c>
    </x:row>
    <x:row r="28" ht="42" customHeight="1">
      <x:c r="A28" s="9" t="str">
        <x:v>BT-000152</x:v>
      </x:c>
      <x:c r="B28" s="9" t="str">
        <x:v>Dell</x:v>
      </x:c>
      <x:c r="C28" s="9" t="str">
        <x:v>Dell Latitude 7320</x:v>
      </x:c>
      <x:c r="D28" s="9" t="str">
        <x:v>Dell Latitude 7320 · Core i5-1145G7 · KHÔNG CẢM ỨNG · LAPTOP THƯỜNG</x:v>
      </x:c>
      <x:c r="E28" s="9" t="str">
        <x:v>Core i5-1145G7</x:v>
      </x:c>
      <x:c r="F28" s="9"/>
      <x:c r="G28" s="9" t="str">
        <x:v>KHÔNG CẢM ỨNG</x:v>
      </x:c>
      <x:c r="H28" s="13" t="n">
        <x:v>16</x:v>
      </x:c>
      <x:c r="I28" s="13" t="n">
        <x:v>256</x:v>
      </x:c>
      <x:c r="J28" s="13" t="n">
        <x:f>COUNTIFS('Tồn theo serial'!$E$9:$E$106,$A28)</x:f>
        <x:v>2</x:v>
      </x:c>
      <x:c r="K28" s="13" t="n">
        <x:f>COUNTIFS('Tồn theo serial'!$E$9:$E$106,$A28,'Tồn theo serial'!$N$9:$N$106,"SẴN SÀNG BÁN")</x:f>
        <x:v>2</x:v>
      </x:c>
      <x:c r="L28" s="13" t="n">
        <x:f>COUNTIFS('Tồn theo serial'!$E$9:$E$106,$A28,'Tồn theo serial'!$N$9:$N$106,"CẦN KIỂM TRA")</x:f>
        <x:v>0</x:v>
      </x:c>
      <x:c r="M28" s="13" t="n">
        <x:f>COUNTIFS('Tồn theo serial'!$E$9:$E$106,$A28,'Tồn theo serial'!$B$9:$B$106,"CẦN XÁC NHẬN")</x:f>
        <x:v>1</x:v>
      </x:c>
      <x:c r="N28" s="13" t="n">
        <x:f>COUNTIFS('Tồn theo serial'!$E$9:$E$106,$A28,'Tồn theo serial'!$B$9:$B$106,"THIẾU THÔNG SỐ")</x:f>
        <x:v>1</x:v>
      </x:c>
      <x:c r="O28" s="13" t="n">
        <x:f>COUNTIFS('Tồn theo serial'!$E$9:$E$106,$A28,'Tồn theo serial'!$O$9:$O$106,"&gt;0")</x:f>
        <x:v>2</x:v>
      </x:c>
      <x:c r="P28" s="13" t="n">
        <x:f>J28-O28</x:f>
        <x:v>0</x:v>
      </x:c>
    </x:row>
    <x:row r="29" ht="42" customHeight="1">
      <x:c r="A29" s="9" t="str">
        <x:v>BT-000105</x:v>
      </x:c>
      <x:c r="B29" s="9" t="str">
        <x:v>Dell</x:v>
      </x:c>
      <x:c r="C29" s="9" t="str">
        <x:v>Dell Latitude 7330</x:v>
      </x:c>
      <x:c r="D29" s="9" t="str">
        <x:v>Dell Latitude 7330 · Core i5-1245U · CÓ CẢM ỨNG · LAPTOP THƯỜNG</x:v>
      </x:c>
      <x:c r="E29" s="9" t="str">
        <x:v>Core i5-1245U</x:v>
      </x:c>
      <x:c r="F29" s="9"/>
      <x:c r="G29" s="9" t="str">
        <x:v>CÓ CẢM ỨNG</x:v>
      </x:c>
      <x:c r="H29" s="13" t="n">
        <x:v>16</x:v>
      </x:c>
      <x:c r="I29" s="13" t="n">
        <x:v>256</x:v>
      </x:c>
      <x:c r="J29" s="13" t="n">
        <x:f>COUNTIFS('Tồn theo serial'!$E$9:$E$106,$A29)</x:f>
        <x:v>3</x:v>
      </x:c>
      <x:c r="K29" s="13" t="n">
        <x:f>COUNTIFS('Tồn theo serial'!$E$9:$E$106,$A29,'Tồn theo serial'!$N$9:$N$106,"SẴN SÀNG BÁN")</x:f>
        <x:v>3</x:v>
      </x:c>
      <x:c r="L29" s="13" t="n">
        <x:f>COUNTIFS('Tồn theo serial'!$E$9:$E$106,$A29,'Tồn theo serial'!$N$9:$N$106,"CẦN KIỂM TRA")</x:f>
        <x:v>0</x:v>
      </x:c>
      <x:c r="M29" s="13" t="n">
        <x:f>COUNTIFS('Tồn theo serial'!$E$9:$E$106,$A29,'Tồn theo serial'!$B$9:$B$106,"CẦN XÁC NHẬN")</x:f>
        <x:v>0</x:v>
      </x:c>
      <x:c r="N29" s="13" t="n">
        <x:f>COUNTIFS('Tồn theo serial'!$E$9:$E$106,$A29,'Tồn theo serial'!$B$9:$B$106,"THIẾU THÔNG SỐ")</x:f>
        <x:v>3</x:v>
      </x:c>
      <x:c r="O29" s="13" t="n">
        <x:f>COUNTIFS('Tồn theo serial'!$E$9:$E$106,$A29,'Tồn theo serial'!$O$9:$O$106,"&gt;0")</x:f>
        <x:v>3</x:v>
      </x:c>
      <x:c r="P29" s="13" t="n">
        <x:f>J29-O29</x:f>
        <x:v>0</x:v>
      </x:c>
    </x:row>
    <x:row r="30" ht="42" customHeight="1">
      <x:c r="A30" s="9" t="str">
        <x:v>BT-000182</x:v>
      </x:c>
      <x:c r="B30" s="9" t="str">
        <x:v>Dell</x:v>
      </x:c>
      <x:c r="C30" s="9" t="str">
        <x:v>Dell Latitude 7400</x:v>
      </x:c>
      <x:c r="D30" s="9" t="str">
        <x:v>Dell Latitude 7400 · Intel Core i7-8665U · không cảm ứng · Intel UHD Graphics 620</x:v>
      </x:c>
      <x:c r="E30" s="9" t="str">
        <x:v>Intel Core i7-8665U</x:v>
      </x:c>
      <x:c r="F30" s="9" t="str">
        <x:v>Intel UHD Graphics 620</x:v>
      </x:c>
      <x:c r="G30" s="9" t="str">
        <x:v>KHÔNG CẢM ỨNG</x:v>
      </x:c>
      <x:c r="H30" s="13" t="n">
        <x:v>8</x:v>
      </x:c>
      <x:c r="I30" s="13" t="n">
        <x:v>256</x:v>
      </x:c>
      <x:c r="J30" s="13" t="n">
        <x:f>COUNTIFS('Tồn theo serial'!$E$9:$E$106,$A30)</x:f>
        <x:v>6</x:v>
      </x:c>
      <x:c r="K30" s="13" t="n">
        <x:f>COUNTIFS('Tồn theo serial'!$E$9:$E$106,$A30,'Tồn theo serial'!$N$9:$N$106,"SẴN SÀNG BÁN")</x:f>
        <x:v>6</x:v>
      </x:c>
      <x:c r="L30" s="13" t="n">
        <x:f>COUNTIFS('Tồn theo serial'!$E$9:$E$106,$A30,'Tồn theo serial'!$N$9:$N$106,"CẦN KIỂM TRA")</x:f>
        <x:v>0</x:v>
      </x:c>
      <x:c r="M30" s="13" t="n">
        <x:f>COUNTIFS('Tồn theo serial'!$E$9:$E$106,$A30,'Tồn theo serial'!$B$9:$B$106,"CẦN XÁC NHẬN")</x:f>
        <x:v>0</x:v>
      </x:c>
      <x:c r="N30" s="13" t="n">
        <x:f>COUNTIFS('Tồn theo serial'!$E$9:$E$106,$A30,'Tồn theo serial'!$B$9:$B$106,"THIẾU THÔNG SỐ")</x:f>
        <x:v>0</x:v>
      </x:c>
      <x:c r="O30" s="13" t="n">
        <x:f>COUNTIFS('Tồn theo serial'!$E$9:$E$106,$A30,'Tồn theo serial'!$O$9:$O$106,"&gt;0")</x:f>
        <x:v>6</x:v>
      </x:c>
      <x:c r="P30" s="13" t="n">
        <x:f>J30-O30</x:f>
        <x:v>0</x:v>
      </x:c>
    </x:row>
    <x:row r="31" ht="42" customHeight="1">
      <x:c r="A31" s="9" t="str">
        <x:v>BT-000001</x:v>
      </x:c>
      <x:c r="B31" s="9" t="str">
        <x:v>Dell</x:v>
      </x:c>
      <x:c r="C31" s="9" t="str">
        <x:v>Dell Latitude 7410</x:v>
      </x:c>
      <x:c r="D31" s="9" t="str">
        <x:v>Dell Latitude 7410 · Core i5 · không cảm ứng</x:v>
      </x:c>
      <x:c r="E31" s="9" t="str">
        <x:v>Intel Core i5</x:v>
      </x:c>
      <x:c r="F31" s="9"/>
      <x:c r="G31" s="9" t="str">
        <x:v>KHÔNG CẢM ỨNG</x:v>
      </x:c>
      <x:c r="H31" s="13" t="n">
        <x:v>16</x:v>
      </x:c>
      <x:c r="I31" s="13" t="n">
        <x:v>256</x:v>
      </x:c>
      <x:c r="J31" s="13" t="n">
        <x:f>COUNTIFS('Tồn theo serial'!$E$9:$E$106,$A31)</x:f>
        <x:v>2</x:v>
      </x:c>
      <x:c r="K31" s="13" t="n">
        <x:f>COUNTIFS('Tồn theo serial'!$E$9:$E$106,$A31,'Tồn theo serial'!$N$9:$N$106,"SẴN SÀNG BÁN")</x:f>
        <x:v>2</x:v>
      </x:c>
      <x:c r="L31" s="13" t="n">
        <x:f>COUNTIFS('Tồn theo serial'!$E$9:$E$106,$A31,'Tồn theo serial'!$N$9:$N$106,"CẦN KIỂM TRA")</x:f>
        <x:v>0</x:v>
      </x:c>
      <x:c r="M31" s="13" t="n">
        <x:f>COUNTIFS('Tồn theo serial'!$E$9:$E$106,$A31,'Tồn theo serial'!$B$9:$B$106,"CẦN XÁC NHẬN")</x:f>
        <x:v>0</x:v>
      </x:c>
      <x:c r="N31" s="13" t="n">
        <x:f>COUNTIFS('Tồn theo serial'!$E$9:$E$106,$A31,'Tồn theo serial'!$B$9:$B$106,"THIẾU THÔNG SỐ")</x:f>
        <x:v>2</x:v>
      </x:c>
      <x:c r="O31" s="13" t="n">
        <x:f>COUNTIFS('Tồn theo serial'!$E$9:$E$106,$A31,'Tồn theo serial'!$O$9:$O$106,"&gt;0")</x:f>
        <x:v>2</x:v>
      </x:c>
      <x:c r="P31" s="13" t="n">
        <x:f>J31-O31</x:f>
        <x:v>0</x:v>
      </x:c>
    </x:row>
    <x:row r="32" ht="42" customHeight="1">
      <x:c r="A32" s="9" t="str">
        <x:v>BT-000002</x:v>
      </x:c>
      <x:c r="B32" s="9" t="str">
        <x:v>Dell</x:v>
      </x:c>
      <x:c r="C32" s="9" t="str">
        <x:v>Dell Latitude 7410</x:v>
      </x:c>
      <x:c r="D32" s="9" t="str">
        <x:v>Dell Latitude 7410 · Core i5 · cảm ứng</x:v>
      </x:c>
      <x:c r="E32" s="9" t="str">
        <x:v>Intel Core i5</x:v>
      </x:c>
      <x:c r="F32" s="9"/>
      <x:c r="G32" s="9" t="str">
        <x:v>CÓ CẢM ỨNG</x:v>
      </x:c>
      <x:c r="H32" s="13" t="n">
        <x:v>16</x:v>
      </x:c>
      <x:c r="I32" s="13" t="n">
        <x:v>256</x:v>
      </x:c>
      <x:c r="J32" s="13" t="n">
        <x:f>COUNTIFS('Tồn theo serial'!$E$9:$E$106,$A32)</x:f>
        <x:v>1</x:v>
      </x:c>
      <x:c r="K32" s="13" t="n">
        <x:f>COUNTIFS('Tồn theo serial'!$E$9:$E$106,$A32,'Tồn theo serial'!$N$9:$N$106,"SẴN SÀNG BÁN")</x:f>
        <x:v>0</x:v>
      </x:c>
      <x:c r="L32" s="13" t="n">
        <x:f>COUNTIFS('Tồn theo serial'!$E$9:$E$106,$A32,'Tồn theo serial'!$N$9:$N$106,"CẦN KIỂM TRA")</x:f>
        <x:v>1</x:v>
      </x:c>
      <x:c r="M32" s="13" t="n">
        <x:f>COUNTIFS('Tồn theo serial'!$E$9:$E$106,$A32,'Tồn theo serial'!$B$9:$B$106,"CẦN XÁC NHẬN")</x:f>
        <x:v>0</x:v>
      </x:c>
      <x:c r="N32" s="13" t="n">
        <x:f>COUNTIFS('Tồn theo serial'!$E$9:$E$106,$A32,'Tồn theo serial'!$B$9:$B$106,"THIẾU THÔNG SỐ")</x:f>
        <x:v>1</x:v>
      </x:c>
      <x:c r="O32" s="13" t="n">
        <x:f>COUNTIFS('Tồn theo serial'!$E$9:$E$106,$A32,'Tồn theo serial'!$O$9:$O$106,"&gt;0")</x:f>
        <x:v>1</x:v>
      </x:c>
      <x:c r="P32" s="13" t="n">
        <x:f>J32-O32</x:f>
        <x:v>0</x:v>
      </x:c>
    </x:row>
    <x:row r="33" ht="42" customHeight="1">
      <x:c r="A33" s="9" t="str">
        <x:v>BT-000069</x:v>
      </x:c>
      <x:c r="B33" s="9" t="str">
        <x:v>Dell</x:v>
      </x:c>
      <x:c r="C33" s="9" t="str">
        <x:v>Dell Latitude 7420</x:v>
      </x:c>
      <x:c r="D33" s="9" t="str">
        <x:v>Dell Latitude 7420 · Intel Core i7-1185G7 · KHÔNG CẢM ỨNG · LAPTOP THƯỜNG</x:v>
      </x:c>
      <x:c r="E33" s="9" t="str">
        <x:v>Intel Core i7-1185G7</x:v>
      </x:c>
      <x:c r="F33" s="9" t="str">
        <x:v>Intel Iris Xe Graphics</x:v>
      </x:c>
      <x:c r="G33" s="9" t="str">
        <x:v>KHÔNG CẢM ỨNG</x:v>
      </x:c>
      <x:c r="H33" s="13" t="n">
        <x:v>16</x:v>
      </x:c>
      <x:c r="I33" s="13" t="n">
        <x:v>256</x:v>
      </x:c>
      <x:c r="J33" s="13" t="n">
        <x:f>COUNTIFS('Tồn theo serial'!$E$9:$E$106,$A33)</x:f>
        <x:v>6</x:v>
      </x:c>
      <x:c r="K33" s="13" t="n">
        <x:f>COUNTIFS('Tồn theo serial'!$E$9:$E$106,$A33,'Tồn theo serial'!$N$9:$N$106,"SẴN SÀNG BÁN")</x:f>
        <x:v>6</x:v>
      </x:c>
      <x:c r="L33" s="13" t="n">
        <x:f>COUNTIFS('Tồn theo serial'!$E$9:$E$106,$A33,'Tồn theo serial'!$N$9:$N$106,"CẦN KIỂM TRA")</x:f>
        <x:v>0</x:v>
      </x:c>
      <x:c r="M33" s="13" t="n">
        <x:f>COUNTIFS('Tồn theo serial'!$E$9:$E$106,$A33,'Tồn theo serial'!$B$9:$B$106,"CẦN XÁC NHẬN")</x:f>
        <x:v>0</x:v>
      </x:c>
      <x:c r="N33" s="13" t="n">
        <x:f>COUNTIFS('Tồn theo serial'!$E$9:$E$106,$A33,'Tồn theo serial'!$B$9:$B$106,"THIẾU THÔNG SỐ")</x:f>
        <x:v>0</x:v>
      </x:c>
      <x:c r="O33" s="13" t="n">
        <x:f>COUNTIFS('Tồn theo serial'!$E$9:$E$106,$A33,'Tồn theo serial'!$O$9:$O$106,"&gt;0")</x:f>
        <x:v>6</x:v>
      </x:c>
      <x:c r="P33" s="13" t="n">
        <x:f>J33-O33</x:f>
        <x:v>0</x:v>
      </x:c>
    </x:row>
    <x:row r="34" ht="42" customHeight="1">
      <x:c r="A34" s="9" t="str">
        <x:v>BT-000192</x:v>
      </x:c>
      <x:c r="B34" s="9" t="str">
        <x:v>Dell</x:v>
      </x:c>
      <x:c r="C34" s="9" t="str">
        <x:v>Dell Latitude 7430</x:v>
      </x:c>
      <x:c r="D34" s="9" t="str">
        <x:v>Dell Latitude 7430 · Intel Core i7-1265U · có cảm ứng · Intel Iris Xe Graphics</x:v>
      </x:c>
      <x:c r="E34" s="9" t="str">
        <x:v>Intel Core i7-1265U</x:v>
      </x:c>
      <x:c r="F34" s="9" t="str">
        <x:v>Intel Iris Xe Graphics</x:v>
      </x:c>
      <x:c r="G34" s="9" t="str">
        <x:v>CÓ CẢM ỨNG</x:v>
      </x:c>
      <x:c r="H34" s="13" t="n">
        <x:v>32</x:v>
      </x:c>
      <x:c r="I34" s="13" t="n">
        <x:v>256</x:v>
      </x:c>
      <x:c r="J34" s="13" t="n">
        <x:f>COUNTIFS('Tồn theo serial'!$E$9:$E$106,$A34)</x:f>
        <x:v>3</x:v>
      </x:c>
      <x:c r="K34" s="13" t="n">
        <x:f>COUNTIFS('Tồn theo serial'!$E$9:$E$106,$A34,'Tồn theo serial'!$N$9:$N$106,"SẴN SÀNG BÁN")</x:f>
        <x:v>3</x:v>
      </x:c>
      <x:c r="L34" s="13" t="n">
        <x:f>COUNTIFS('Tồn theo serial'!$E$9:$E$106,$A34,'Tồn theo serial'!$N$9:$N$106,"CẦN KIỂM TRA")</x:f>
        <x:v>0</x:v>
      </x:c>
      <x:c r="M34" s="13" t="n">
        <x:f>COUNTIFS('Tồn theo serial'!$E$9:$E$106,$A34,'Tồn theo serial'!$B$9:$B$106,"CẦN XÁC NHẬN")</x:f>
        <x:v>0</x:v>
      </x:c>
      <x:c r="N34" s="13" t="n">
        <x:f>COUNTIFS('Tồn theo serial'!$E$9:$E$106,$A34,'Tồn theo serial'!$B$9:$B$106,"THIẾU THÔNG SỐ")</x:f>
        <x:v>0</x:v>
      </x:c>
      <x:c r="O34" s="13" t="n">
        <x:f>COUNTIFS('Tồn theo serial'!$E$9:$E$106,$A34,'Tồn theo serial'!$O$9:$O$106,"&gt;0")</x:f>
        <x:v>3</x:v>
      </x:c>
      <x:c r="P34" s="13" t="n">
        <x:f>J34-O34</x:f>
        <x:v>0</x:v>
      </x:c>
    </x:row>
    <x:row r="35" ht="42" customHeight="1">
      <x:c r="A35" s="9" t="str">
        <x:v>BT-000174</x:v>
      </x:c>
      <x:c r="B35" s="9" t="str">
        <x:v>Dell</x:v>
      </x:c>
      <x:c r="C35" s="9" t="str">
        <x:v>Dell Vostro 5620</x:v>
      </x:c>
      <x:c r="D35" s="9" t="str">
        <x:v>Dell Vostro 5620 · Core i7 - 1260P · không cảm ứng · Intel Iris Xe Graphics</x:v>
      </x:c>
      <x:c r="E35" s="9" t="str">
        <x:v>Core i7 - 1260P</x:v>
      </x:c>
      <x:c r="F35" s="9" t="str">
        <x:v>Intel Iris Xe Graphics</x:v>
      </x:c>
      <x:c r="G35" s="9" t="str">
        <x:v>KHÔNG CẢM ỨNG</x:v>
      </x:c>
      <x:c r="H35" s="13" t="n">
        <x:v>16</x:v>
      </x:c>
      <x:c r="I35" s="13" t="n">
        <x:v>512</x:v>
      </x:c>
      <x:c r="J35" s="13" t="n">
        <x:f>COUNTIFS('Tồn theo serial'!$E$9:$E$106,$A35)</x:f>
        <x:v>1</x:v>
      </x:c>
      <x:c r="K35" s="13" t="n">
        <x:f>COUNTIFS('Tồn theo serial'!$E$9:$E$106,$A35,'Tồn theo serial'!$N$9:$N$106,"SẴN SÀNG BÁN")</x:f>
        <x:v>1</x:v>
      </x:c>
      <x:c r="L35" s="13" t="n">
        <x:f>COUNTIFS('Tồn theo serial'!$E$9:$E$106,$A35,'Tồn theo serial'!$N$9:$N$106,"CẦN KIỂM TRA")</x:f>
        <x:v>0</x:v>
      </x:c>
      <x:c r="M35" s="13" t="n">
        <x:f>COUNTIFS('Tồn theo serial'!$E$9:$E$106,$A35,'Tồn theo serial'!$B$9:$B$106,"CẦN XÁC NHẬN")</x:f>
        <x:v>0</x:v>
      </x:c>
      <x:c r="N35" s="13" t="n">
        <x:f>COUNTIFS('Tồn theo serial'!$E$9:$E$106,$A35,'Tồn theo serial'!$B$9:$B$106,"THIẾU THÔNG SỐ")</x:f>
        <x:v>0</x:v>
      </x:c>
      <x:c r="O35" s="13" t="n">
        <x:f>COUNTIFS('Tồn theo serial'!$E$9:$E$106,$A35,'Tồn theo serial'!$O$9:$O$106,"&gt;0")</x:f>
        <x:v>1</x:v>
      </x:c>
      <x:c r="P35" s="13" t="n">
        <x:f>J35-O35</x:f>
        <x:v>0</x:v>
      </x:c>
    </x:row>
    <x:row r="36" ht="42" customHeight="1">
      <x:c r="A36" s="9" t="str">
        <x:v>BT-000185</x:v>
      </x:c>
      <x:c r="B36" s="9" t="str">
        <x:v>Dell</x:v>
      </x:c>
      <x:c r="C36" s="9" t="str">
        <x:v>Dell XPS 9520</x:v>
      </x:c>
      <x:c r="D36" s="9" t="str">
        <x:v>Dell XPS 9520 · Core i7 - 12700H · không cảm ứng · RTX 3050TI - 4GB</x:v>
      </x:c>
      <x:c r="E36" s="9" t="str">
        <x:v>Core i7 - 12700H</x:v>
      </x:c>
      <x:c r="F36" s="9" t="str">
        <x:v>RTX 3050TI - 4GB</x:v>
      </x:c>
      <x:c r="G36" s="9" t="str">
        <x:v>KHÔNG CẢM ỨNG</x:v>
      </x:c>
      <x:c r="H36" s="13" t="n">
        <x:v>16</x:v>
      </x:c>
      <x:c r="I36" s="13" t="n">
        <x:v>512</x:v>
      </x:c>
      <x:c r="J36" s="13" t="n">
        <x:f>COUNTIFS('Tồn theo serial'!$E$9:$E$106,$A36)</x:f>
        <x:v>3</x:v>
      </x:c>
      <x:c r="K36" s="13" t="n">
        <x:f>COUNTIFS('Tồn theo serial'!$E$9:$E$106,$A36,'Tồn theo serial'!$N$9:$N$106,"SẴN SÀNG BÁN")</x:f>
        <x:v>3</x:v>
      </x:c>
      <x:c r="L36" s="13" t="n">
        <x:f>COUNTIFS('Tồn theo serial'!$E$9:$E$106,$A36,'Tồn theo serial'!$N$9:$N$106,"CẦN KIỂM TRA")</x:f>
        <x:v>0</x:v>
      </x:c>
      <x:c r="M36" s="13" t="n">
        <x:f>COUNTIFS('Tồn theo serial'!$E$9:$E$106,$A36,'Tồn theo serial'!$B$9:$B$106,"CẦN XÁC NHẬN")</x:f>
        <x:v>0</x:v>
      </x:c>
      <x:c r="N36" s="13" t="n">
        <x:f>COUNTIFS('Tồn theo serial'!$E$9:$E$106,$A36,'Tồn theo serial'!$B$9:$B$106,"THIẾU THÔNG SỐ")</x:f>
        <x:v>0</x:v>
      </x:c>
      <x:c r="O36" s="13" t="n">
        <x:f>COUNTIFS('Tồn theo serial'!$E$9:$E$106,$A36,'Tồn theo serial'!$O$9:$O$106,"&gt;0")</x:f>
        <x:v>2</x:v>
      </x:c>
      <x:c r="P36" s="13" t="n">
        <x:f>J36-O36</x:f>
        <x:v>1</x:v>
      </x:c>
    </x:row>
    <x:row r="37" ht="42" customHeight="1">
      <x:c r="A37" s="9" t="str">
        <x:v>BT-000086</x:v>
      </x:c>
      <x:c r="B37" s="9" t="str">
        <x:v>HP</x:v>
      </x:c>
      <x:c r="C37" s="9" t="str">
        <x:v>HP Elitebook 830 G8</x:v>
      </x:c>
      <x:c r="D37" s="9" t="str">
        <x:v>HP Elitebook 830 G8 · Core I7- 1185G7 · KHÔNG CẢM ỨNG · LAPTOP THƯỜNG</x:v>
      </x:c>
      <x:c r="E37" s="9" t="str">
        <x:v>Core I7- 1185G7</x:v>
      </x:c>
      <x:c r="F37" s="9"/>
      <x:c r="G37" s="9" t="str">
        <x:v>KHÔNG CẢM ỨNG</x:v>
      </x:c>
      <x:c r="H37" s="13"/>
      <x:c r="I37" s="13"/>
      <x:c r="J37" s="13" t="n">
        <x:f>COUNTIFS('Tồn theo serial'!$E$9:$E$106,$A37)</x:f>
        <x:v>1</x:v>
      </x:c>
      <x:c r="K37" s="13" t="n">
        <x:f>COUNTIFS('Tồn theo serial'!$E$9:$E$106,$A37,'Tồn theo serial'!$N$9:$N$106,"SẴN SÀNG BÁN")</x:f>
        <x:v>1</x:v>
      </x:c>
      <x:c r="L37" s="13" t="n">
        <x:f>COUNTIFS('Tồn theo serial'!$E$9:$E$106,$A37,'Tồn theo serial'!$N$9:$N$106,"CẦN KIỂM TRA")</x:f>
        <x:v>0</x:v>
      </x:c>
      <x:c r="M37" s="13" t="n">
        <x:f>COUNTIFS('Tồn theo serial'!$E$9:$E$106,$A37,'Tồn theo serial'!$B$9:$B$106,"CẦN XÁC NHẬN")</x:f>
        <x:v>0</x:v>
      </x:c>
      <x:c r="N37" s="13" t="n">
        <x:f>COUNTIFS('Tồn theo serial'!$E$9:$E$106,$A37,'Tồn theo serial'!$B$9:$B$106,"THIẾU THÔNG SỐ")</x:f>
        <x:v>1</x:v>
      </x:c>
      <x:c r="O37" s="13" t="n">
        <x:f>COUNTIFS('Tồn theo serial'!$E$9:$E$106,$A37,'Tồn theo serial'!$O$9:$O$106,"&gt;0")</x:f>
        <x:v>1</x:v>
      </x:c>
      <x:c r="P37" s="13" t="n">
        <x:f>J37-O37</x:f>
        <x:v>0</x:v>
      </x:c>
    </x:row>
    <x:row r="38" ht="42" customHeight="1">
      <x:c r="A38" s="9" t="str">
        <x:v>BT-000186</x:v>
      </x:c>
      <x:c r="B38" s="9" t="str">
        <x:v>HP</x:v>
      </x:c>
      <x:c r="C38" s="9" t="str">
        <x:v>HP Pavilion DV2033TU</x:v>
      </x:c>
      <x:c r="D38" s="9" t="str">
        <x:v>HP Pavilion DV2033TU · Core i5-1235U · không cảm ứng · Intel Iris Xe Graphics</x:v>
      </x:c>
      <x:c r="E38" s="9" t="str">
        <x:v>Core i5-1235U</x:v>
      </x:c>
      <x:c r="F38" s="9" t="str">
        <x:v>Intel Iris Xe Graphics</x:v>
      </x:c>
      <x:c r="G38" s="9" t="str">
        <x:v>KHÔNG CẢM ỨNG</x:v>
      </x:c>
      <x:c r="H38" s="13" t="n">
        <x:v>8</x:v>
      </x:c>
      <x:c r="I38" s="13" t="n">
        <x:v>512</x:v>
      </x:c>
      <x:c r="J38" s="13" t="n">
        <x:f>COUNTIFS('Tồn theo serial'!$E$9:$E$106,$A38)</x:f>
        <x:v>1</x:v>
      </x:c>
      <x:c r="K38" s="13" t="n">
        <x:f>COUNTIFS('Tồn theo serial'!$E$9:$E$106,$A38,'Tồn theo serial'!$N$9:$N$106,"SẴN SÀNG BÁN")</x:f>
        <x:v>1</x:v>
      </x:c>
      <x:c r="L38" s="13" t="n">
        <x:f>COUNTIFS('Tồn theo serial'!$E$9:$E$106,$A38,'Tồn theo serial'!$N$9:$N$106,"CẦN KIỂM TRA")</x:f>
        <x:v>0</x:v>
      </x:c>
      <x:c r="M38" s="13" t="n">
        <x:f>COUNTIFS('Tồn theo serial'!$E$9:$E$106,$A38,'Tồn theo serial'!$B$9:$B$106,"CẦN XÁC NHẬN")</x:f>
        <x:v>0</x:v>
      </x:c>
      <x:c r="N38" s="13" t="n">
        <x:f>COUNTIFS('Tồn theo serial'!$E$9:$E$106,$A38,'Tồn theo serial'!$B$9:$B$106,"THIẾU THÔNG SỐ")</x:f>
        <x:v>0</x:v>
      </x:c>
      <x:c r="O38" s="13" t="n">
        <x:f>COUNTIFS('Tồn theo serial'!$E$9:$E$106,$A38,'Tồn theo serial'!$O$9:$O$106,"&gt;0")</x:f>
        <x:v>1</x:v>
      </x:c>
      <x:c r="P38" s="13" t="n">
        <x:f>J38-O38</x:f>
        <x:v>0</x:v>
      </x:c>
    </x:row>
    <x:row r="39" ht="42" customHeight="1">
      <x:c r="A39" s="9" t="str">
        <x:v>BT-000210</x:v>
      </x:c>
      <x:c r="B39" s="9" t="str">
        <x:v>HP</x:v>
      </x:c>
      <x:c r="C39" s="9" t="str">
        <x:v>HP ProBook 450 G8</x:v>
      </x:c>
      <x:c r="D39" s="9" t="str">
        <x:v>HP ProBook 450 G8 · Core I3-1115G4 · không cảm ứng · Intel UHD Graphics</x:v>
      </x:c>
      <x:c r="E39" s="9" t="str">
        <x:v>Core I3-1115G4</x:v>
      </x:c>
      <x:c r="F39" s="9" t="str">
        <x:v>Intel UHD Graphics</x:v>
      </x:c>
      <x:c r="G39" s="9" t="str">
        <x:v>KHÔNG CẢM ỨNG</x:v>
      </x:c>
      <x:c r="H39" s="13" t="n">
        <x:v>8</x:v>
      </x:c>
      <x:c r="I39" s="13" t="n">
        <x:v>256</x:v>
      </x:c>
      <x:c r="J39" s="13" t="n">
        <x:f>COUNTIFS('Tồn theo serial'!$E$9:$E$106,$A39)</x:f>
        <x:v>1</x:v>
      </x:c>
      <x:c r="K39" s="13" t="n">
        <x:f>COUNTIFS('Tồn theo serial'!$E$9:$E$106,$A39,'Tồn theo serial'!$N$9:$N$106,"SẴN SÀNG BÁN")</x:f>
        <x:v>1</x:v>
      </x:c>
      <x:c r="L39" s="13" t="n">
        <x:f>COUNTIFS('Tồn theo serial'!$E$9:$E$106,$A39,'Tồn theo serial'!$N$9:$N$106,"CẦN KIỂM TRA")</x:f>
        <x:v>0</x:v>
      </x:c>
      <x:c r="M39" s="13" t="n">
        <x:f>COUNTIFS('Tồn theo serial'!$E$9:$E$106,$A39,'Tồn theo serial'!$B$9:$B$106,"CẦN XÁC NHẬN")</x:f>
        <x:v>0</x:v>
      </x:c>
      <x:c r="N39" s="13" t="n">
        <x:f>COUNTIFS('Tồn theo serial'!$E$9:$E$106,$A39,'Tồn theo serial'!$B$9:$B$106,"THIẾU THÔNG SỐ")</x:f>
        <x:v>0</x:v>
      </x:c>
      <x:c r="O39" s="13" t="n">
        <x:f>COUNTIFS('Tồn theo serial'!$E$9:$E$106,$A39,'Tồn theo serial'!$O$9:$O$106,"&gt;0")</x:f>
        <x:v>0</x:v>
      </x:c>
      <x:c r="P39" s="13" t="n">
        <x:f>J39-O39</x:f>
        <x:v>1</x:v>
      </x:c>
    </x:row>
    <x:row r="40" ht="42" customHeight="1">
      <x:c r="A40" s="9" t="str">
        <x:v>BT-000036</x:v>
      </x:c>
      <x:c r="B40" s="9" t="str">
        <x:v>HP</x:v>
      </x:c>
      <x:c r="C40" s="9" t="str">
        <x:v>HP ProBook x360 435 G8</x:v>
      </x:c>
      <x:c r="D40" s="9" t="str">
        <x:v>HP ProBook x360 435 G8 · Ryzen 7 5800U · 2-in-1 · cảm ứng</x:v>
      </x:c>
      <x:c r="E40" s="9" t="str">
        <x:v>AMD Ryzen 7 5800U</x:v>
      </x:c>
      <x:c r="F40" s="9" t="str">
        <x:v>AMD Radeon Graphics</x:v>
      </x:c>
      <x:c r="G40" s="9" t="str">
        <x:v>CÓ CẢM ỨNG</x:v>
      </x:c>
      <x:c r="H40" s="13" t="n">
        <x:v>16</x:v>
      </x:c>
      <x:c r="I40" s="13" t="n">
        <x:v>256</x:v>
      </x:c>
      <x:c r="J40" s="13" t="n">
        <x:f>COUNTIFS('Tồn theo serial'!$E$9:$E$106,$A40)</x:f>
        <x:v>2</x:v>
      </x:c>
      <x:c r="K40" s="13" t="n">
        <x:f>COUNTIFS('Tồn theo serial'!$E$9:$E$106,$A40,'Tồn theo serial'!$N$9:$N$106,"SẴN SÀNG BÁN")</x:f>
        <x:v>2</x:v>
      </x:c>
      <x:c r="L40" s="13" t="n">
        <x:f>COUNTIFS('Tồn theo serial'!$E$9:$E$106,$A40,'Tồn theo serial'!$N$9:$N$106,"CẦN KIỂM TRA")</x:f>
        <x:v>0</x:v>
      </x:c>
      <x:c r="M40" s="13" t="n">
        <x:f>COUNTIFS('Tồn theo serial'!$E$9:$E$106,$A40,'Tồn theo serial'!$B$9:$B$106,"CẦN XÁC NHẬN")</x:f>
        <x:v>0</x:v>
      </x:c>
      <x:c r="N40" s="13" t="n">
        <x:f>COUNTIFS('Tồn theo serial'!$E$9:$E$106,$A40,'Tồn theo serial'!$B$9:$B$106,"THIẾU THÔNG SỐ")</x:f>
        <x:v>0</x:v>
      </x:c>
      <x:c r="O40" s="13" t="n">
        <x:f>COUNTIFS('Tồn theo serial'!$E$9:$E$106,$A40,'Tồn theo serial'!$O$9:$O$106,"&gt;0")</x:f>
        <x:v>2</x:v>
      </x:c>
      <x:c r="P40" s="13" t="n">
        <x:f>J40-O40</x:f>
        <x:v>0</x:v>
      </x:c>
    </x:row>
    <x:row r="41" ht="42" customHeight="1">
      <x:c r="A41" s="9" t="str">
        <x:v>BT-000157</x:v>
      </x:c>
      <x:c r="B41" s="9" t="str">
        <x:v>HP</x:v>
      </x:c>
      <x:c r="C41" s="9" t="str">
        <x:v>HP ZBook Studio 15 G7</x:v>
      </x:c>
      <x:c r="D41" s="9" t="str">
        <x:v>HP ZBook Studio 15 G7 · Intel Core i7-10850H · không cảm ứng · NVIDIA Quadro T1000 4GB</x:v>
      </x:c>
      <x:c r="E41" s="9" t="str">
        <x:v>Intel Core i7-10850H</x:v>
      </x:c>
      <x:c r="F41" s="9" t="str">
        <x:v>NVIDIA Quadro T1000 4GB</x:v>
      </x:c>
      <x:c r="G41" s="9" t="str">
        <x:v>KHÔNG CẢM ỨNG</x:v>
      </x:c>
      <x:c r="H41" s="13" t="n">
        <x:v>32</x:v>
      </x:c>
      <x:c r="I41" s="13" t="n">
        <x:v>512</x:v>
      </x:c>
      <x:c r="J41" s="13" t="n">
        <x:f>COUNTIFS('Tồn theo serial'!$E$9:$E$106,$A41)</x:f>
        <x:v>2</x:v>
      </x:c>
      <x:c r="K41" s="13" t="n">
        <x:f>COUNTIFS('Tồn theo serial'!$E$9:$E$106,$A41,'Tồn theo serial'!$N$9:$N$106,"SẴN SÀNG BÁN")</x:f>
        <x:v>2</x:v>
      </x:c>
      <x:c r="L41" s="13" t="n">
        <x:f>COUNTIFS('Tồn theo serial'!$E$9:$E$106,$A41,'Tồn theo serial'!$N$9:$N$106,"CẦN KIỂM TRA")</x:f>
        <x:v>0</x:v>
      </x:c>
      <x:c r="M41" s="13" t="n">
        <x:f>COUNTIFS('Tồn theo serial'!$E$9:$E$106,$A41,'Tồn theo serial'!$B$9:$B$106,"CẦN XÁC NHẬN")</x:f>
        <x:v>0</x:v>
      </x:c>
      <x:c r="N41" s="13" t="n">
        <x:f>COUNTIFS('Tồn theo serial'!$E$9:$E$106,$A41,'Tồn theo serial'!$B$9:$B$106,"THIẾU THÔNG SỐ")</x:f>
        <x:v>0</x:v>
      </x:c>
      <x:c r="O41" s="13" t="n">
        <x:f>COUNTIFS('Tồn theo serial'!$E$9:$E$106,$A41,'Tồn theo serial'!$O$9:$O$106,"&gt;0")</x:f>
        <x:v>2</x:v>
      </x:c>
      <x:c r="P41" s="13" t="n">
        <x:f>J41-O41</x:f>
        <x:v>0</x:v>
      </x:c>
    </x:row>
    <x:row r="42" ht="42" customHeight="1">
      <x:c r="A42" s="9" t="str">
        <x:v>BT-000175</x:v>
      </x:c>
      <x:c r="B42" s="9" t="str">
        <x:v>Lenovo</x:v>
      </x:c>
      <x:c r="C42" s="9" t="str">
        <x:v>Lenovo LOQ 15IRX9</x:v>
      </x:c>
      <x:c r="D42" s="9" t="str">
        <x:v>Lenovo LOQ 15IRX9 · Intel Core i7-13650HX · không cảm ứng · NVIDIA RTX 4050 6GB</x:v>
      </x:c>
      <x:c r="E42" s="9" t="str">
        <x:v>Intel Core i7-13650HX</x:v>
      </x:c>
      <x:c r="F42" s="9" t="str">
        <x:v>NVIDIA RTX 4050 6GB</x:v>
      </x:c>
      <x:c r="G42" s="9" t="str">
        <x:v>KHÔNG CẢM ỨNG</x:v>
      </x:c>
      <x:c r="H42" s="13" t="n">
        <x:v>16</x:v>
      </x:c>
      <x:c r="I42" s="13" t="n">
        <x:v>512</x:v>
      </x:c>
      <x:c r="J42" s="13" t="n">
        <x:f>COUNTIFS('Tồn theo serial'!$E$9:$E$106,$A42)</x:f>
        <x:v>1</x:v>
      </x:c>
      <x:c r="K42" s="13" t="n">
        <x:f>COUNTIFS('Tồn theo serial'!$E$9:$E$106,$A42,'Tồn theo serial'!$N$9:$N$106,"SẴN SÀNG BÁN")</x:f>
        <x:v>1</x:v>
      </x:c>
      <x:c r="L42" s="13" t="n">
        <x:f>COUNTIFS('Tồn theo serial'!$E$9:$E$106,$A42,'Tồn theo serial'!$N$9:$N$106,"CẦN KIỂM TRA")</x:f>
        <x:v>0</x:v>
      </x:c>
      <x:c r="M42" s="13" t="n">
        <x:f>COUNTIFS('Tồn theo serial'!$E$9:$E$106,$A42,'Tồn theo serial'!$B$9:$B$106,"CẦN XÁC NHẬN")</x:f>
        <x:v>0</x:v>
      </x:c>
      <x:c r="N42" s="13" t="n">
        <x:f>COUNTIFS('Tồn theo serial'!$E$9:$E$106,$A42,'Tồn theo serial'!$B$9:$B$106,"THIẾU THÔNG SỐ")</x:f>
        <x:v>0</x:v>
      </x:c>
      <x:c r="O42" s="13" t="n">
        <x:f>COUNTIFS('Tồn theo serial'!$E$9:$E$106,$A42,'Tồn theo serial'!$O$9:$O$106,"&gt;0")</x:f>
        <x:v>1</x:v>
      </x:c>
      <x:c r="P42" s="13" t="n">
        <x:f>J42-O42</x:f>
        <x:v>0</x:v>
      </x:c>
    </x:row>
    <x:row r="43" ht="42" customHeight="1">
      <x:c r="A43" s="9" t="str">
        <x:v>BT-000231</x:v>
      </x:c>
      <x:c r="B43" s="9" t="str">
        <x:v>Lenovo</x:v>
      </x:c>
      <x:c r="C43" s="9" t="str">
        <x:v>Lenovo LOQ Gaming 15IRX9</x:v>
      </x:c>
      <x:c r="D43" s="9" t="str">
        <x:v>Lenovo LOQ Gaming 15IRX9 · Core i5-12450HX · không cảm ứng · RTX 2050 4GB</x:v>
      </x:c>
      <x:c r="E43" s="9" t="str">
        <x:v>Core i5-12450HX</x:v>
      </x:c>
      <x:c r="F43" s="9" t="str">
        <x:v>RTX 2050 4GB</x:v>
      </x:c>
      <x:c r="G43" s="9" t="str">
        <x:v>KHÔNG CẢM ỨNG</x:v>
      </x:c>
      <x:c r="H43" s="13" t="n">
        <x:v>12</x:v>
      </x:c>
      <x:c r="I43" s="13" t="n">
        <x:v>512</x:v>
      </x:c>
      <x:c r="J43" s="13" t="n">
        <x:f>COUNTIFS('Tồn theo serial'!$E$9:$E$106,$A43)</x:f>
        <x:v>1</x:v>
      </x:c>
      <x:c r="K43" s="13" t="n">
        <x:f>COUNTIFS('Tồn theo serial'!$E$9:$E$106,$A43,'Tồn theo serial'!$N$9:$N$106,"SẴN SÀNG BÁN")</x:f>
        <x:v>1</x:v>
      </x:c>
      <x:c r="L43" s="13" t="n">
        <x:f>COUNTIFS('Tồn theo serial'!$E$9:$E$106,$A43,'Tồn theo serial'!$N$9:$N$106,"CẦN KIỂM TRA")</x:f>
        <x:v>0</x:v>
      </x:c>
      <x:c r="M43" s="13" t="n">
        <x:f>COUNTIFS('Tồn theo serial'!$E$9:$E$106,$A43,'Tồn theo serial'!$B$9:$B$106,"CẦN XÁC NHẬN")</x:f>
        <x:v>0</x:v>
      </x:c>
      <x:c r="N43" s="13" t="n">
        <x:f>COUNTIFS('Tồn theo serial'!$E$9:$E$106,$A43,'Tồn theo serial'!$B$9:$B$106,"THIẾU THÔNG SỐ")</x:f>
        <x:v>0</x:v>
      </x:c>
      <x:c r="O43" s="13" t="n">
        <x:f>COUNTIFS('Tồn theo serial'!$E$9:$E$106,$A43,'Tồn theo serial'!$O$9:$O$106,"&gt;0")</x:f>
        <x:v>1</x:v>
      </x:c>
      <x:c r="P43" s="13" t="n">
        <x:f>J43-O43</x:f>
        <x:v>0</x:v>
      </x:c>
    </x:row>
    <x:row r="44" ht="42" customHeight="1">
      <x:c r="A44" s="9" t="str">
        <x:v>BT-000193</x:v>
      </x:c>
      <x:c r="B44" s="9" t="str">
        <x:v>Lenovo</x:v>
      </x:c>
      <x:c r="C44" s="9" t="str">
        <x:v>Lenovo ThinkPad P14s Gen 2</x:v>
      </x:c>
      <x:c r="D44" s="9" t="str">
        <x:v>Lenovo ThinkPad P14s Gen 2 · Ryzen 5 Pro 5650U · không cảm ứng · AMD Radeon Graphics</x:v>
      </x:c>
      <x:c r="E44" s="9" t="str">
        <x:v>Ryzen 5 Pro 5650U</x:v>
      </x:c>
      <x:c r="F44" s="9" t="str">
        <x:v>AMD Radeon Graphics</x:v>
      </x:c>
      <x:c r="G44" s="9" t="str">
        <x:v>KHÔNG CẢM ỨNG</x:v>
      </x:c>
      <x:c r="H44" s="13" t="n">
        <x:v>16</x:v>
      </x:c>
      <x:c r="I44" s="13" t="n">
        <x:v>256</x:v>
      </x:c>
      <x:c r="J44" s="13" t="n">
        <x:f>COUNTIFS('Tồn theo serial'!$E$9:$E$106,$A44)</x:f>
        <x:v>7</x:v>
      </x:c>
      <x:c r="K44" s="13" t="n">
        <x:f>COUNTIFS('Tồn theo serial'!$E$9:$E$106,$A44,'Tồn theo serial'!$N$9:$N$106,"SẴN SÀNG BÁN")</x:f>
        <x:v>7</x:v>
      </x:c>
      <x:c r="L44" s="13" t="n">
        <x:f>COUNTIFS('Tồn theo serial'!$E$9:$E$106,$A44,'Tồn theo serial'!$N$9:$N$106,"CẦN KIỂM TRA")</x:f>
        <x:v>0</x:v>
      </x:c>
      <x:c r="M44" s="13" t="n">
        <x:f>COUNTIFS('Tồn theo serial'!$E$9:$E$106,$A44,'Tồn theo serial'!$B$9:$B$106,"CẦN XÁC NHẬN")</x:f>
        <x:v>0</x:v>
      </x:c>
      <x:c r="N44" s="13" t="n">
        <x:f>COUNTIFS('Tồn theo serial'!$E$9:$E$106,$A44,'Tồn theo serial'!$B$9:$B$106,"THIẾU THÔNG SỐ")</x:f>
        <x:v>0</x:v>
      </x:c>
      <x:c r="O44" s="13" t="n">
        <x:f>COUNTIFS('Tồn theo serial'!$E$9:$E$106,$A44,'Tồn theo serial'!$O$9:$O$106,"&gt;0")</x:f>
        <x:v>7</x:v>
      </x:c>
      <x:c r="P44" s="13" t="n">
        <x:f>J44-O44</x:f>
        <x:v>0</x:v>
      </x:c>
    </x:row>
    <x:row r="45" ht="42" customHeight="1">
      <x:c r="A45" s="9" t="str">
        <x:v>BT-000077</x:v>
      </x:c>
      <x:c r="B45" s="9" t="str">
        <x:v>Lenovo</x:v>
      </x:c>
      <x:c r="C45" s="9" t="str">
        <x:v>Lenovo ThinkPad T14 Gen 3</x:v>
      </x:c>
      <x:c r="D45" s="9" t="str">
        <x:v>Lenovo ThinkPad T14 Gen 3 · Core i7 - 1270P · KHÔNG CẢM ỨNG · LAPTOP THƯỜNG</x:v>
      </x:c>
      <x:c r="E45" s="9" t="str">
        <x:v>Core i7 - 1270P</x:v>
      </x:c>
      <x:c r="F45" s="9"/>
      <x:c r="G45" s="9" t="str">
        <x:v>KHÔNG CẢM ỨNG</x:v>
      </x:c>
      <x:c r="H45" s="13"/>
      <x:c r="I45" s="13"/>
      <x:c r="J45" s="13" t="n">
        <x:f>COUNTIFS('Tồn theo serial'!$E$9:$E$106,$A45)</x:f>
        <x:v>1</x:v>
      </x:c>
      <x:c r="K45" s="13" t="n">
        <x:f>COUNTIFS('Tồn theo serial'!$E$9:$E$106,$A45,'Tồn theo serial'!$N$9:$N$106,"SẴN SÀNG BÁN")</x:f>
        <x:v>1</x:v>
      </x:c>
      <x:c r="L45" s="13" t="n">
        <x:f>COUNTIFS('Tồn theo serial'!$E$9:$E$106,$A45,'Tồn theo serial'!$N$9:$N$106,"CẦN KIỂM TRA")</x:f>
        <x:v>0</x:v>
      </x:c>
      <x:c r="M45" s="13" t="n">
        <x:f>COUNTIFS('Tồn theo serial'!$E$9:$E$106,$A45,'Tồn theo serial'!$B$9:$B$106,"CẦN XÁC NHẬN")</x:f>
        <x:v>0</x:v>
      </x:c>
      <x:c r="N45" s="13" t="n">
        <x:f>COUNTIFS('Tồn theo serial'!$E$9:$E$106,$A45,'Tồn theo serial'!$B$9:$B$106,"THIẾU THÔNG SỐ")</x:f>
        <x:v>1</x:v>
      </x:c>
      <x:c r="O45" s="13" t="n">
        <x:f>COUNTIFS('Tồn theo serial'!$E$9:$E$106,$A45,'Tồn theo serial'!$O$9:$O$106,"&gt;0")</x:f>
        <x:v>1</x:v>
      </x:c>
      <x:c r="P45" s="13" t="n">
        <x:f>J45-O45</x:f>
        <x:v>0</x:v>
      </x:c>
    </x:row>
    <x:row r="46" ht="42" customHeight="1">
      <x:c r="A46" s="9" t="str">
        <x:v>BT-000078</x:v>
      </x:c>
      <x:c r="B46" s="9" t="str">
        <x:v>Lenovo</x:v>
      </x:c>
      <x:c r="C46" s="9" t="str">
        <x:v>Lenovo ThinkPad T14 Gen 3</x:v>
      </x:c>
      <x:c r="D46" s="9" t="str">
        <x:v>Lenovo ThinkPad T14 Gen 3 · Core i7 - 1270P · CÓ CẢM ỨNG · LAPTOP THƯỜNG</x:v>
      </x:c>
      <x:c r="E46" s="9" t="str">
        <x:v>Core i7 - 1270P</x:v>
      </x:c>
      <x:c r="F46" s="9"/>
      <x:c r="G46" s="9" t="str">
        <x:v>CÓ CẢM ỨNG</x:v>
      </x:c>
      <x:c r="H46" s="13" t="n">
        <x:v>32</x:v>
      </x:c>
      <x:c r="I46" s="13" t="n">
        <x:v>512</x:v>
      </x:c>
      <x:c r="J46" s="13" t="n">
        <x:f>COUNTIFS('Tồn theo serial'!$E$9:$E$106,$A46)</x:f>
        <x:v>3</x:v>
      </x:c>
      <x:c r="K46" s="13" t="n">
        <x:f>COUNTIFS('Tồn theo serial'!$E$9:$E$106,$A46,'Tồn theo serial'!$N$9:$N$106,"SẴN SÀNG BÁN")</x:f>
        <x:v>3</x:v>
      </x:c>
      <x:c r="L46" s="13" t="n">
        <x:f>COUNTIFS('Tồn theo serial'!$E$9:$E$106,$A46,'Tồn theo serial'!$N$9:$N$106,"CẦN KIỂM TRA")</x:f>
        <x:v>0</x:v>
      </x:c>
      <x:c r="M46" s="13" t="n">
        <x:f>COUNTIFS('Tồn theo serial'!$E$9:$E$106,$A46,'Tồn theo serial'!$B$9:$B$106,"CẦN XÁC NHẬN")</x:f>
        <x:v>0</x:v>
      </x:c>
      <x:c r="N46" s="13" t="n">
        <x:f>COUNTIFS('Tồn theo serial'!$E$9:$E$106,$A46,'Tồn theo serial'!$B$9:$B$106,"THIẾU THÔNG SỐ")</x:f>
        <x:v>3</x:v>
      </x:c>
      <x:c r="O46" s="13" t="n">
        <x:f>COUNTIFS('Tồn theo serial'!$E$9:$E$106,$A46,'Tồn theo serial'!$O$9:$O$106,"&gt;0")</x:f>
        <x:v>3</x:v>
      </x:c>
      <x:c r="P46" s="13" t="n">
        <x:f>J46-O46</x:f>
        <x:v>0</x:v>
      </x:c>
    </x:row>
    <x:row r="47" ht="42" customHeight="1">
      <x:c r="A47" s="9" t="str">
        <x:v>BT-000025</x:v>
      </x:c>
      <x:c r="B47" s="9" t="str">
        <x:v>Lenovo</x:v>
      </x:c>
      <x:c r="C47" s="9" t="str">
        <x:v>Lenovo ThinkPad X1 Carbon Gen 10</x:v>
      </x:c>
      <x:c r="D47" s="9" t="str">
        <x:v>Lenovo ThinkPad X1 Carbon Gen 10 · Core i7-1260P · cảm ứng</x:v>
      </x:c>
      <x:c r="E47" s="9" t="str">
        <x:v>Intel Core i7-1260P</x:v>
      </x:c>
      <x:c r="F47" s="9" t="str">
        <x:v>Intel Iris Xe Graphics</x:v>
      </x:c>
      <x:c r="G47" s="9" t="str">
        <x:v>CÓ CẢM ỨNG</x:v>
      </x:c>
      <x:c r="H47" s="13" t="n">
        <x:v>16</x:v>
      </x:c>
      <x:c r="I47" s="13" t="n">
        <x:v>512</x:v>
      </x:c>
      <x:c r="J47" s="13" t="n">
        <x:f>COUNTIFS('Tồn theo serial'!$E$9:$E$106,$A47)</x:f>
        <x:v>2</x:v>
      </x:c>
      <x:c r="K47" s="13" t="n">
        <x:f>COUNTIFS('Tồn theo serial'!$E$9:$E$106,$A47,'Tồn theo serial'!$N$9:$N$106,"SẴN SÀNG BÁN")</x:f>
        <x:v>2</x:v>
      </x:c>
      <x:c r="L47" s="13" t="n">
        <x:f>COUNTIFS('Tồn theo serial'!$E$9:$E$106,$A47,'Tồn theo serial'!$N$9:$N$106,"CẦN KIỂM TRA")</x:f>
        <x:v>0</x:v>
      </x:c>
      <x:c r="M47" s="13" t="n">
        <x:f>COUNTIFS('Tồn theo serial'!$E$9:$E$106,$A47,'Tồn theo serial'!$B$9:$B$106,"CẦN XÁC NHẬN")</x:f>
        <x:v>0</x:v>
      </x:c>
      <x:c r="N47" s="13" t="n">
        <x:f>COUNTIFS('Tồn theo serial'!$E$9:$E$106,$A47,'Tồn theo serial'!$B$9:$B$106,"THIẾU THÔNG SỐ")</x:f>
        <x:v>0</x:v>
      </x:c>
      <x:c r="O47" s="13" t="n">
        <x:f>COUNTIFS('Tồn theo serial'!$E$9:$E$106,$A47,'Tồn theo serial'!$O$9:$O$106,"&gt;0")</x:f>
        <x:v>2</x:v>
      </x:c>
      <x:c r="P47" s="13" t="n">
        <x:f>J47-O47</x:f>
        <x:v>0</x:v>
      </x:c>
    </x:row>
    <x:row r="48" ht="42" customHeight="1">
      <x:c r="A48" s="9" t="str">
        <x:v>BT-000207</x:v>
      </x:c>
      <x:c r="B48" s="9" t="str">
        <x:v>Lenovo</x:v>
      </x:c>
      <x:c r="C48" s="9" t="str">
        <x:v>Lenovo Yoga Pro 14s</x:v>
      </x:c>
      <x:c r="D48" s="9" t="str">
        <x:v>Lenovo Yoga Pro 14s · Ryzen 7-6800HS · không cảm ứng · AMD Radeon 680M</x:v>
      </x:c>
      <x:c r="E48" s="9" t="str">
        <x:v>Ryzen 7-6800HS</x:v>
      </x:c>
      <x:c r="F48" s="9" t="str">
        <x:v>AMD Radeon 680M</x:v>
      </x:c>
      <x:c r="G48" s="9" t="str">
        <x:v>KHÔNG CẢM ỨNG</x:v>
      </x:c>
      <x:c r="H48" s="13" t="n">
        <x:v>16</x:v>
      </x:c>
      <x:c r="I48" s="13" t="n">
        <x:v>512</x:v>
      </x:c>
      <x:c r="J48" s="13" t="n">
        <x:f>COUNTIFS('Tồn theo serial'!$E$9:$E$106,$A48)</x:f>
        <x:v>1</x:v>
      </x:c>
      <x:c r="K48" s="13" t="n">
        <x:f>COUNTIFS('Tồn theo serial'!$E$9:$E$106,$A48,'Tồn theo serial'!$N$9:$N$106,"SẴN SÀNG BÁN")</x:f>
        <x:v>1</x:v>
      </x:c>
      <x:c r="L48" s="13" t="n">
        <x:f>COUNTIFS('Tồn theo serial'!$E$9:$E$106,$A48,'Tồn theo serial'!$N$9:$N$106,"CẦN KIỂM TRA")</x:f>
        <x:v>0</x:v>
      </x:c>
      <x:c r="M48" s="13" t="n">
        <x:f>COUNTIFS('Tồn theo serial'!$E$9:$E$106,$A48,'Tồn theo serial'!$B$9:$B$106,"CẦN XÁC NHẬN")</x:f>
        <x:v>0</x:v>
      </x:c>
      <x:c r="N48" s="13" t="n">
        <x:f>COUNTIFS('Tồn theo serial'!$E$9:$E$106,$A48,'Tồn theo serial'!$B$9:$B$106,"THIẾU THÔNG SỐ")</x:f>
        <x:v>0</x:v>
      </x:c>
      <x:c r="O48" s="13" t="n">
        <x:f>COUNTIFS('Tồn theo serial'!$E$9:$E$106,$A48,'Tồn theo serial'!$O$9:$O$106,"&gt;0")</x:f>
        <x:v>1</x:v>
      </x:c>
      <x:c r="P48" s="13" t="n">
        <x:f>J48-O48</x:f>
        <x:v>0</x:v>
      </x:c>
    </x:row>
    <x:row r="49" ht="42" customHeight="1">
      <x:c r="A49" s="9" t="str">
        <x:v>BT-000215</x:v>
      </x:c>
      <x:c r="B49" s="9" t="str">
        <x:v>Microsoft</x:v>
      </x:c>
      <x:c r="C49" s="9" t="str">
        <x:v>Microsoft Surface Laptop Go 1</x:v>
      </x:c>
      <x:c r="D49" s="9" t="str">
        <x:v>Microsoft Surface Laptop Go 1 · Intel Core i5-1035G1 · có cảm ứng · Intel UHD Graphics</x:v>
      </x:c>
      <x:c r="E49" s="9" t="str">
        <x:v>Intel Core i5-1035G1</x:v>
      </x:c>
      <x:c r="F49" s="9" t="str">
        <x:v>Intel UHD Graphics</x:v>
      </x:c>
      <x:c r="G49" s="9" t="str">
        <x:v>CÓ CẢM ỨNG</x:v>
      </x:c>
      <x:c r="H49" s="13" t="n">
        <x:v>16</x:v>
      </x:c>
      <x:c r="I49" s="13" t="n">
        <x:v>256</x:v>
      </x:c>
      <x:c r="J49" s="13" t="n">
        <x:f>COUNTIFS('Tồn theo serial'!$E$9:$E$106,$A49)</x:f>
        <x:v>3</x:v>
      </x:c>
      <x:c r="K49" s="13" t="n">
        <x:f>COUNTIFS('Tồn theo serial'!$E$9:$E$106,$A49,'Tồn theo serial'!$N$9:$N$106,"SẴN SÀNG BÁN")</x:f>
        <x:v>3</x:v>
      </x:c>
      <x:c r="L49" s="13" t="n">
        <x:f>COUNTIFS('Tồn theo serial'!$E$9:$E$106,$A49,'Tồn theo serial'!$N$9:$N$106,"CẦN KIỂM TRA")</x:f>
        <x:v>0</x:v>
      </x:c>
      <x:c r="M49" s="13" t="n">
        <x:f>COUNTIFS('Tồn theo serial'!$E$9:$E$106,$A49,'Tồn theo serial'!$B$9:$B$106,"CẦN XÁC NHẬN")</x:f>
        <x:v>0</x:v>
      </x:c>
      <x:c r="N49" s="13" t="n">
        <x:f>COUNTIFS('Tồn theo serial'!$E$9:$E$106,$A49,'Tồn theo serial'!$B$9:$B$106,"THIẾU THÔNG SỐ")</x:f>
        <x:v>0</x:v>
      </x:c>
      <x:c r="O49" s="13" t="n">
        <x:f>COUNTIFS('Tồn theo serial'!$E$9:$E$106,$A49,'Tồn theo serial'!$O$9:$O$106,"&gt;0")</x:f>
        <x:v>3</x:v>
      </x:c>
      <x:c r="P49" s="13" t="n">
        <x:f>J49-O49</x:f>
        <x:v>0</x:v>
      </x:c>
    </x:row>
    <x:row r="50" ht="42" customHeight="1">
      <x:c r="A50" s="9" t="str">
        <x:v>BT-000172</x:v>
      </x:c>
      <x:c r="B50" s="9" t="str">
        <x:v>Microsoft</x:v>
      </x:c>
      <x:c r="C50" s="9" t="str">
        <x:v>Microsoft Surface Laptop Go 2</x:v>
      </x:c>
      <x:c r="D50" s="9" t="str">
        <x:v>Microsoft Surface Laptop Go 2 · Core i5-1135G7 · có cảm ứng · Intel Iris Xe Graphics</x:v>
      </x:c>
      <x:c r="E50" s="9" t="str">
        <x:v>Core i5-1135G7</x:v>
      </x:c>
      <x:c r="F50" s="9" t="str">
        <x:v>Intel Iris Xe Graphics</x:v>
      </x:c>
      <x:c r="G50" s="9" t="str">
        <x:v>CÓ CẢM ỨNG</x:v>
      </x:c>
      <x:c r="H50" s="13" t="n">
        <x:v>16</x:v>
      </x:c>
      <x:c r="I50" s="13" t="n">
        <x:v>256</x:v>
      </x:c>
      <x:c r="J50" s="13" t="n">
        <x:f>COUNTIFS('Tồn theo serial'!$E$9:$E$106,$A50)</x:f>
        <x:v>1</x:v>
      </x:c>
      <x:c r="K50" s="13" t="n">
        <x:f>COUNTIFS('Tồn theo serial'!$E$9:$E$106,$A50,'Tồn theo serial'!$N$9:$N$106,"SẴN SÀNG BÁN")</x:f>
        <x:v>1</x:v>
      </x:c>
      <x:c r="L50" s="13" t="n">
        <x:f>COUNTIFS('Tồn theo serial'!$E$9:$E$106,$A50,'Tồn theo serial'!$N$9:$N$106,"CẦN KIỂM TRA")</x:f>
        <x:v>0</x:v>
      </x:c>
      <x:c r="M50" s="13" t="n">
        <x:f>COUNTIFS('Tồn theo serial'!$E$9:$E$106,$A50,'Tồn theo serial'!$B$9:$B$106,"CẦN XÁC NHẬN")</x:f>
        <x:v>0</x:v>
      </x:c>
      <x:c r="N50" s="13" t="n">
        <x:f>COUNTIFS('Tồn theo serial'!$E$9:$E$106,$A50,'Tồn theo serial'!$B$9:$B$106,"THIẾU THÔNG SỐ")</x:f>
        <x:v>0</x:v>
      </x:c>
      <x:c r="O50" s="13" t="n">
        <x:f>COUNTIFS('Tồn theo serial'!$E$9:$E$106,$A50,'Tồn theo serial'!$O$9:$O$106,"&gt;0")</x:f>
        <x:v>1</x:v>
      </x:c>
      <x:c r="P50" s="13" t="n">
        <x:f>J50-O50</x:f>
        <x:v>0</x:v>
      </x:c>
    </x:row>
    <x:row r="51" ht="42" customHeight="1">
      <x:c r="A51" s="9" t="str">
        <x:v>BT-000229</x:v>
      </x:c>
      <x:c r="B51" s="9" t="str">
        <x:v>MSI</x:v>
      </x:c>
      <x:c r="C51" s="9" t="str">
        <x:v>MSI Bravo 15 Gaming Bravo 15 B5DD-279VN</x:v>
      </x:c>
      <x:c r="D51" s="9" t="str">
        <x:v>MSI Bravo 15 Gaming Bravo 15 B5DD-279VN · Ryzen 5 - 5600H · không cảm ứng · VGA 4GB RX5500M</x:v>
      </x:c>
      <x:c r="E51" s="9" t="str">
        <x:v>Ryzen 5 - 5600H</x:v>
      </x:c>
      <x:c r="F51" s="9" t="str">
        <x:v>VGA 4GB RX5500M</x:v>
      </x:c>
      <x:c r="G51" s="9" t="str">
        <x:v>KHÔNG CẢM ỨNG</x:v>
      </x:c>
      <x:c r="H51" s="13" t="n">
        <x:v>8</x:v>
      </x:c>
      <x:c r="I51" s="13" t="n">
        <x:v>512</x:v>
      </x:c>
      <x:c r="J51" s="13" t="n">
        <x:f>COUNTIFS('Tồn theo serial'!$E$9:$E$106,$A51)</x:f>
        <x:v>1</x:v>
      </x:c>
      <x:c r="K51" s="13" t="n">
        <x:f>COUNTIFS('Tồn theo serial'!$E$9:$E$106,$A51,'Tồn theo serial'!$N$9:$N$106,"SẴN SÀNG BÁN")</x:f>
        <x:v>1</x:v>
      </x:c>
      <x:c r="L51" s="13" t="n">
        <x:f>COUNTIFS('Tồn theo serial'!$E$9:$E$106,$A51,'Tồn theo serial'!$N$9:$N$106,"CẦN KIỂM TRA")</x:f>
        <x:v>0</x:v>
      </x:c>
      <x:c r="M51" s="13" t="n">
        <x:f>COUNTIFS('Tồn theo serial'!$E$9:$E$106,$A51,'Tồn theo serial'!$B$9:$B$106,"CẦN XÁC NHẬN")</x:f>
        <x:v>0</x:v>
      </x:c>
      <x:c r="N51" s="13" t="n">
        <x:f>COUNTIFS('Tồn theo serial'!$E$9:$E$106,$A51,'Tồn theo serial'!$B$9:$B$106,"THIẾU THÔNG SỐ")</x:f>
        <x:v>0</x:v>
      </x:c>
      <x:c r="O51" s="13" t="n">
        <x:f>COUNTIFS('Tồn theo serial'!$E$9:$E$106,$A51,'Tồn theo serial'!$O$9:$O$106,"&gt;0")</x:f>
        <x:v>0</x:v>
      </x:c>
      <x:c r="P51" s="13" t="n">
        <x:f>J51-O51</x:f>
        <x:v>1</x:v>
      </x:c>
    </x:row>
    <x:row r="52" ht="42" customHeight="1">
      <x:c r="A52" s="9" t="str">
        <x:v>BT-000224</x:v>
      </x:c>
      <x:c r="B52" s="9" t="str">
        <x:v>MSI</x:v>
      </x:c>
      <x:c r="C52" s="9" t="str">
        <x:v>MSI Thin GF63 Laptop MSI Gaming GF63 Thin 12VE</x:v>
      </x:c>
      <x:c r="D52" s="9" t="str">
        <x:v>MSI Thin GF63 Laptop MSI Gaming GF63 Thin 12VE · Core i5 12450H · không cảm ứng · NVIDIA RTX 4050 6GB</x:v>
      </x:c>
      <x:c r="E52" s="9" t="str">
        <x:v>Core i5 12450H</x:v>
      </x:c>
      <x:c r="F52" s="9" t="str">
        <x:v>NVIDIA RTX 4050 6GB</x:v>
      </x:c>
      <x:c r="G52" s="9" t="str">
        <x:v>KHÔNG CẢM ỨNG</x:v>
      </x:c>
      <x:c r="H52" s="13" t="n">
        <x:v>16</x:v>
      </x:c>
      <x:c r="I52" s="13" t="n">
        <x:v>512</x:v>
      </x:c>
      <x:c r="J52" s="13" t="n">
        <x:f>COUNTIFS('Tồn theo serial'!$E$9:$E$106,$A52)</x:f>
        <x:v>1</x:v>
      </x:c>
      <x:c r="K52" s="13" t="n">
        <x:f>COUNTIFS('Tồn theo serial'!$E$9:$E$106,$A52,'Tồn theo serial'!$N$9:$N$106,"SẴN SÀNG BÁN")</x:f>
        <x:v>1</x:v>
      </x:c>
      <x:c r="L52" s="13" t="n">
        <x:f>COUNTIFS('Tồn theo serial'!$E$9:$E$106,$A52,'Tồn theo serial'!$N$9:$N$106,"CẦN KIỂM TRA")</x:f>
        <x:v>0</x:v>
      </x:c>
      <x:c r="M52" s="13" t="n">
        <x:f>COUNTIFS('Tồn theo serial'!$E$9:$E$106,$A52,'Tồn theo serial'!$B$9:$B$106,"CẦN XÁC NHẬN")</x:f>
        <x:v>0</x:v>
      </x:c>
      <x:c r="N52" s="13" t="n">
        <x:f>COUNTIFS('Tồn theo serial'!$E$9:$E$106,$A52,'Tồn theo serial'!$B$9:$B$106,"THIẾU THÔNG SỐ")</x:f>
        <x:v>0</x:v>
      </x:c>
      <x:c r="O52" s="13" t="n">
        <x:f>COUNTIFS('Tồn theo serial'!$E$9:$E$106,$A52,'Tồn theo serial'!$O$9:$O$106,"&gt;0")</x:f>
        <x:v>0</x:v>
      </x:c>
      <x:c r="P52" s="13" t="n">
        <x:f>J52-O52</x:f>
        <x:v>1</x:v>
      </x:c>
    </x:row>
  </x:sheetData>
  <x:conditionalFormatting sqref="M9:M52">
    <x:cfRule type="cellIs" dxfId="4" priority="1" operator="greaterThan">
      <x:formula>0</x:formula>
    </x:cfRule>
  </x:conditionalFormatting>
  <x:conditionalFormatting sqref="N9:N52">
    <x:cfRule type="cellIs" dxfId="5" priority="2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d26cd558efc48a5"/>
  </x:tableParts>
</x:worksheet>
</file>

<file path=xl/worksheets/sheet3.xml><?xml version="1.0" encoding="utf-8"?>
<x:worksheet xmlns:x="http://schemas.openxmlformats.org/spreadsheetml/2006/main">
  <x:sheetPr>
    <x:tabColor rgb="FFB77928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25" hidden="0" customWidth="1"/>
    <x:col min="2" max="2" width="29" hidden="0" customWidth="1"/>
    <x:col min="3" max="3" width="40" hidden="0" customWidth="1"/>
    <x:col min="4" max="4" width="17" hidden="0" customWidth="1"/>
    <x:col min="5" max="5" width="26" hidden="0" customWidth="1"/>
    <x:col min="6" max="6" width="75" hidden="0" customWidth="1"/>
    <x:col min="7" max="7" width="75" hidden="0" customWidth="1"/>
    <x:col min="8" max="8" width="81" hidden="0" customWidth="1"/>
    <x:col min="9" max="9" width="87" hidden="0" customWidth="1"/>
    <x:col min="10" max="10" width="7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0" customHeight="1">
      <x:c r="A2" s="3" t="str">
        <x:v>Các điểm cần đối chiếu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1" customHeight="1">
      <x:c r="A3" s="4" t="str">
        <x:v>5 máy có mâu thuẫn; 15 máy thiếu thông số. Một máy có thể xuất hiện nhiều dòng.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4" ht="21" customHeight="1">
      <x:c r="A4" s="4" t="str">
        <x:v>Số tồn lấy từ ACTIVE_INVENTORY. Cấu hình lấy từ SERIAL_REGISTRY và so với danh mục; bảng cũ chỉ dùng đối chiếu.</x:v>
      </x:c>
      <x:c r="B4" s="4"/>
      <x:c r="C4" s="4"/>
      <x:c r="D4" s="4"/>
      <x:c r="E4" s="4"/>
      <x:c r="F4" s="4"/>
      <x:c r="G4" s="4"/>
      <x:c r="H4" s="4"/>
      <x:c r="I4" s="4"/>
      <x:c r="J4" s="4"/>
    </x:row>
    <x:row r="5" ht="21" customHeight="1">
      <x:c r="A5" s="4" t="str">
        <x:v>Với model/GPU, tài liệu hãng chỉ chứng minh thông số model tham chiếu; cần xem tem và cấu hình máy để xác nhận serial.</x:v>
      </x:c>
      <x:c r="B5" s="4"/>
      <x:c r="C5" s="4"/>
      <x:c r="D5" s="4"/>
      <x:c r="E5" s="4"/>
      <x:c r="F5" s="4"/>
      <x:c r="G5" s="4"/>
      <x:c r="H5" s="4"/>
      <x:c r="I5" s="4"/>
      <x:c r="J5" s="4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 ht="42" customHeight="1">
      <x:c r="A8" s="8" t="str">
        <x:v>Serial</x:v>
      </x:c>
      <x:c r="B8" s="8" t="str">
        <x:v>Loại vấn đề</x:v>
      </x:c>
      <x:c r="C8" s="8" t="str">
        <x:v>Dòng máy</x:v>
      </x:c>
      <x:c r="D8" s="8" t="str">
        <x:v>Mã BT</x:v>
      </x:c>
      <x:c r="E8" s="8" t="str">
        <x:v>Trường cần kiểm tra</x:v>
      </x:c>
      <x:c r="F8" s="8" t="str">
        <x:v>Giá trị nguồn</x:v>
      </x:c>
      <x:c r="G8" s="8" t="str">
        <x:v>Giá trị đối chiếu</x:v>
      </x:c>
      <x:c r="H8" s="8" t="str">
        <x:v>Lý do</x:v>
      </x:c>
      <x:c r="I8" s="8" t="str">
        <x:v>Vị trí/chứng cứ</x:v>
      </x:c>
      <x:c r="J8" s="8" t="str">
        <x:v>Bước xác nhận</x:v>
      </x:c>
    </x:row>
    <x:row r="9" ht="58" customHeight="1">
      <x:c r="A9" s="9" t="str">
        <x:v>NQEHSV00125006BD03400</x:v>
      </x:c>
      <x:c r="B9" s="9" t="str">
        <x:v>MÂU THUẪN</x:v>
      </x:c>
      <x:c r="C9" s="9" t="str">
        <x:v>Acer Acer Nitro 5 AN515-57</x:v>
      </x:c>
      <x:c r="D9" s="9" t="str">
        <x:v>BT-000230</x:v>
      </x:c>
      <x:c r="E9" s="9" t="str">
        <x:v>Tên GPU</x:v>
      </x:c>
      <x:c r="F9" s="9" t="str">
        <x:v>RTX 1650 - 4GB</x:v>
      </x:c>
      <x:c r="G9" s="9" t="str">
        <x:v>GTX 1650</x:v>
      </x:c>
      <x:c r="H9" s="9" t="str">
        <x:v>Tên GPU ghi RTX 1650 cần xác nhận; Acer công bố bản AN515-57 dùng GTX 1650</x:v>
      </x:c>
      <x:c r="I9" s="9" t="str">
        <x:v>https://www.acer.com/ca-en/laptops/nitro/nitro-5/pdp/NH.QEKAA.006</x:v>
      </x:c>
      <x:c r="J9" s="9" t="str">
        <x:v>Kiểm tra GPU trong máy; xác nhận GTX/RTX trước khi sửa danh mục</x:v>
      </x:c>
    </x:row>
    <x:row r="10" ht="58" customHeight="1">
      <x:c r="A10" s="9" t="str">
        <x:v>NXJ8LAA0015081B9237600</x:v>
      </x:c>
      <x:c r="B10" s="9" t="str">
        <x:v>MÂU THUẪN</x:v>
      </x:c>
      <x:c r="C10" s="9" t="str">
        <x:v>Acer Aspire 14 AI A14-52M</x:v>
      </x:c>
      <x:c r="D10" s="9" t="str">
        <x:v>BT-000010</x:v>
      </x:c>
      <x:c r="E10" s="9" t="str">
        <x:v>CPU/cấu hình</x:v>
      </x:c>
      <x:c r="F10" s="9" t="str">
        <x:v>Intel Core Ultra 7 256V</x:v>
      </x:c>
      <x:c r="G10" s="9" t="str">
        <x:v>Ultra 5-135U</x:v>
      </x:c>
      <x:c r="H10" s="9" t="str">
        <x:v>CPU hồ sơ khác chuỗi cấu hình theo serial</x:v>
      </x:c>
      <x:c r="I10" s="9" t="str">
        <x:v>SERIAL_REGISTRY!A103:AA103</x:v>
      </x:c>
      <x:c r="J10" s="9" t="str">
        <x:v>Kiểm tra máy thực tế và cập nhật hồ sơ/biến thể đúng</x:v>
      </x:c>
    </x:row>
    <x:row r="11" ht="58" customHeight="1">
      <x:c r="A11" s="9" t="str">
        <x:v>NXJ8LAA00150706BB77600</x:v>
      </x:c>
      <x:c r="B11" s="9" t="str">
        <x:v>MÂU THUẪN</x:v>
      </x:c>
      <x:c r="C11" s="9" t="str">
        <x:v>Acer Aspire 14 AI A14-52M</x:v>
      </x:c>
      <x:c r="D11" s="9" t="str">
        <x:v>BT-000010</x:v>
      </x:c>
      <x:c r="E11" s="9" t="str">
        <x:v>CPU/cấu hình</x:v>
      </x:c>
      <x:c r="F11" s="9" t="str">
        <x:v>Intel Core Ultra 7 256V</x:v>
      </x:c>
      <x:c r="G11" s="9" t="str">
        <x:v>Ultra 5-135U</x:v>
      </x:c>
      <x:c r="H11" s="9" t="str">
        <x:v>CPU hồ sơ khác chuỗi cấu hình theo serial</x:v>
      </x:c>
      <x:c r="I11" s="9" t="str">
        <x:v>SERIAL_REGISTRY!A104:AA104</x:v>
      </x:c>
      <x:c r="J11" s="9" t="str">
        <x:v>Kiểm tra máy thực tế và cập nhật hồ sơ/biến thể đúng</x:v>
      </x:c>
    </x:row>
    <x:row r="12" ht="58" customHeight="1">
      <x:c r="A12" s="9" t="str">
        <x:v>NAN0CV03465141A</x:v>
      </x:c>
      <x:c r="B12" s="9" t="str">
        <x:v>MÂU THUẪN</x:v>
      </x:c>
      <x:c r="C12" s="9" t="str">
        <x:v>ASUS Vivobook 15X M3504YA - L1268W</x:v>
      </x:c>
      <x:c r="D12" s="9" t="str">
        <x:v>BT-000227</x:v>
      </x:c>
      <x:c r="E12" s="9" t="str">
        <x:v>Model/CPU</x:v>
      </x:c>
      <x:c r="F12" s="9" t="str">
        <x:v>ASUS Vivobook 15X M3504YA - L1268W</x:v>
      </x:c>
      <x:c r="G12" s="9" t="str">
        <x:v>Core I5 - 12500H</x:v>
      </x:c>
      <x:c r="H12" s="9" t="str">
        <x:v>Model M3504YA được ASUS công bố dùng AMD, hồ sơ đang ghi Intel</x:v>
      </x:c>
      <x:c r="I12" s="9" t="str">
        <x:v>https://www.asus.com/laptops/for-home/vivobook/asus-vivobook-15x-oled-m3504/techspec/</x:v>
      </x:c>
      <x:c r="J12" s="9" t="str">
        <x:v>Đọc model trên tem và CPU trong BIOS; chưa xác định trường nào sai</x:v>
      </x:c>
    </x:row>
    <x:row r="13" ht="58" customHeight="1">
      <x:c r="A13" s="9" t="str">
        <x:v>NAN0CV03465141A</x:v>
      </x:c>
      <x:c r="B13" s="9" t="str">
        <x:v>MÂU THUẪN</x:v>
      </x:c>
      <x:c r="C13" s="9" t="str">
        <x:v>ASUS Vivobook 15X M3504YA - L1268W</x:v>
      </x:c>
      <x:c r="D13" s="9" t="str">
        <x:v>BT-000227</x:v>
      </x:c>
      <x:c r="E13" s="9" t="str">
        <x:v>Model nhập/model gắn</x:v>
      </x:c>
      <x:c r="F13" s="9" t="str">
        <x:v>Laptop Asus Vivobook 15X A1503ZA-L1139W</x:v>
      </x:c>
      <x:c r="G13" s="9" t="str">
        <x:v>ASUS Vivobook 15X M3504YA - L1268W</x:v>
      </x:c>
      <x:c r="H13" s="9" t="str">
        <x:v>Tên lúc nhập là A1503ZA nhưng hệ thống gắn sang M3504YA</x:v>
      </x:c>
      <x:c r="I13" s="9" t="str">
        <x:v>EVENT_LOG!I582</x:v>
      </x:c>
      <x:c r="J13" s="9" t="str">
        <x:v>Xác nhận model trên tem; có chứng cứ tên đã nhập trong nhật ký</x:v>
      </x:c>
    </x:row>
    <x:row r="14" ht="58" customHeight="1">
      <x:c r="A14" s="9" t="str">
        <x:v>6CQYXD3</x:v>
      </x:c>
      <x:c r="B14" s="9" t="str">
        <x:v>MÂU THUẪN</x:v>
      </x:c>
      <x:c r="C14" s="9" t="str">
        <x:v>Dell Latitude 7320</x:v>
      </x:c>
      <x:c r="D14" s="9" t="str">
        <x:v>BT-000152</x:v>
      </x:c>
      <x:c r="E14" s="9" t="str">
        <x:v>CPU/cấu hình</x:v>
      </x:c>
      <x:c r="F14" s="9" t="str">
        <x:v>Core i5-1145G7</x:v>
      </x:c>
      <x:c r="G14" s="9" t="str">
        <x:v>Core i5-1135G7</x:v>
      </x:c>
      <x:c r="H14" s="9" t="str">
        <x:v>CPU hồ sơ khác chuỗi cấu hình theo serial</x:v>
      </x:c>
      <x:c r="I14" s="9" t="str">
        <x:v>SERIAL_REGISTRY!A262:AA262</x:v>
      </x:c>
      <x:c r="J14" s="9" t="str">
        <x:v>Kiểm tra máy thực tế và cập nhật hồ sơ/biến thể đúng</x:v>
      </x:c>
    </x:row>
    <x:row r="15" ht="58" customHeight="1">
      <x:c r="A15" s="9" t="str">
        <x:v>TCN0CX03S24751A</x:v>
      </x:c>
      <x:c r="B15" s="9" t="str">
        <x:v>THIẾU DỮ LIỆU</x:v>
      </x:c>
      <x:c r="C15" s="9" t="str">
        <x:v>ASUS Vivobook 16 X1607CA</x:v>
      </x:c>
      <x:c r="D15" s="9" t="str">
        <x:v>BT-000123</x:v>
      </x:c>
      <x:c r="E15" s="9" t="str">
        <x:v>GPU</x:v>
      </x:c>
      <x:c r="F15" s="9"/>
      <x:c r="G15" s="9"/>
      <x:c r="H15" s="9" t="str">
        <x:v>Chưa có GPU theo serial</x:v>
      </x:c>
      <x:c r="I15" s="9" t="str">
        <x:v>SERIAL_REGISTRY!A220:AA220</x:v>
      </x:c>
      <x:c r="J15" s="9" t="str">
        <x:v>Bổ sung thông số thực tế theo serial</x:v>
      </x:c>
    </x:row>
    <x:row r="16" ht="58" customHeight="1">
      <x:c r="A16" s="9" t="str">
        <x:v>TBN0CX010381461</x:v>
      </x:c>
      <x:c r="B16" s="9" t="str">
        <x:v>THIẾU DỮ LIỆU</x:v>
      </x:c>
      <x:c r="C16" s="9" t="str">
        <x:v>ASUS Vivobook S16 S3607VA - RP056W</x:v>
      </x:c>
      <x:c r="D16" s="9" t="str">
        <x:v>BT-000126</x:v>
      </x:c>
      <x:c r="E16" s="9" t="str">
        <x:v>GPU</x:v>
      </x:c>
      <x:c r="F16" s="9"/>
      <x:c r="G16" s="9"/>
      <x:c r="H16" s="9" t="str">
        <x:v>Chưa có GPU theo serial</x:v>
      </x:c>
      <x:c r="I16" s="9" t="str">
        <x:v>SERIAL_REGISTRY!A223:AA223</x:v>
      </x:c>
      <x:c r="J16" s="9" t="str">
        <x:v>Bổ sung thông số thực tế theo serial</x:v>
      </x:c>
    </x:row>
    <x:row r="17" ht="58" customHeight="1">
      <x:c r="A17" s="9" t="str">
        <x:v>9TYGXD3</x:v>
      </x:c>
      <x:c r="B17" s="9" t="str">
        <x:v>THIẾU DỮ LIỆU</x:v>
      </x:c>
      <x:c r="C17" s="9" t="str">
        <x:v>Dell Latitude 7320</x:v>
      </x:c>
      <x:c r="D17" s="9" t="str">
        <x:v>BT-000121</x:v>
      </x:c>
      <x:c r="E17" s="9" t="str">
        <x:v>RAM</x:v>
      </x:c>
      <x:c r="F17" s="9"/>
      <x:c r="G17" s="9"/>
      <x:c r="H17" s="9" t="str">
        <x:v>Chưa có RAM theo serial</x:v>
      </x:c>
      <x:c r="I17" s="9" t="str">
        <x:v>SERIAL_REGISTRY!A214:AA214</x:v>
      </x:c>
      <x:c r="J17" s="9" t="str">
        <x:v>Bổ sung thông số thực tế theo serial</x:v>
      </x:c>
    </x:row>
    <x:row r="18" ht="58" customHeight="1">
      <x:c r="A18" s="9" t="str">
        <x:v>9TYGXD3</x:v>
      </x:c>
      <x:c r="B18" s="9" t="str">
        <x:v>THIẾU DỮ LIỆU</x:v>
      </x:c>
      <x:c r="C18" s="9" t="str">
        <x:v>Dell Latitude 7320</x:v>
      </x:c>
      <x:c r="D18" s="9" t="str">
        <x:v>BT-000121</x:v>
      </x:c>
      <x:c r="E18" s="9" t="str">
        <x:v>SSD</x:v>
      </x:c>
      <x:c r="F18" s="9"/>
      <x:c r="G18" s="9"/>
      <x:c r="H18" s="9" t="str">
        <x:v>Chưa có SSD theo serial</x:v>
      </x:c>
      <x:c r="I18" s="9" t="str">
        <x:v>SERIAL_REGISTRY!A214:AA214</x:v>
      </x:c>
      <x:c r="J18" s="9" t="str">
        <x:v>Bổ sung thông số thực tế theo serial</x:v>
      </x:c>
    </x:row>
    <x:row r="19" ht="58" customHeight="1">
      <x:c r="A19" s="9" t="str">
        <x:v>9TYGXD3</x:v>
      </x:c>
      <x:c r="B19" s="9" t="str">
        <x:v>THIẾU DỮ LIỆU</x:v>
      </x:c>
      <x:c r="C19" s="9" t="str">
        <x:v>Dell Latitude 7320</x:v>
      </x:c>
      <x:c r="D19" s="9" t="str">
        <x:v>BT-000121</x:v>
      </x:c>
      <x:c r="E19" s="9" t="str">
        <x:v>GPU</x:v>
      </x:c>
      <x:c r="F19" s="9"/>
      <x:c r="G19" s="9"/>
      <x:c r="H19" s="9" t="str">
        <x:v>Chưa có GPU theo serial</x:v>
      </x:c>
      <x:c r="I19" s="9" t="str">
        <x:v>SERIAL_REGISTRY!A214:AA214</x:v>
      </x:c>
      <x:c r="J19" s="9" t="str">
        <x:v>Bổ sung thông số thực tế theo serial</x:v>
      </x:c>
    </x:row>
    <x:row r="20" ht="58" customHeight="1">
      <x:c r="A20" s="9" t="str">
        <x:v>HZFGXD3</x:v>
      </x:c>
      <x:c r="B20" s="9" t="str">
        <x:v>THIẾU DỮ LIỆU</x:v>
      </x:c>
      <x:c r="C20" s="9" t="str">
        <x:v>Dell Latitude 7320</x:v>
      </x:c>
      <x:c r="D20" s="9" t="str">
        <x:v>BT-000152</x:v>
      </x:c>
      <x:c r="E20" s="9" t="str">
        <x:v>GPU</x:v>
      </x:c>
      <x:c r="F20" s="9"/>
      <x:c r="G20" s="9"/>
      <x:c r="H20" s="9" t="str">
        <x:v>Chưa có GPU theo serial</x:v>
      </x:c>
      <x:c r="I20" s="9" t="str">
        <x:v>SERIAL_REGISTRY!A254:AA254</x:v>
      </x:c>
      <x:c r="J20" s="9" t="str">
        <x:v>Bổ sung thông số thực tế theo serial</x:v>
      </x:c>
    </x:row>
    <x:row r="21" ht="58" customHeight="1">
      <x:c r="A21" s="9" t="str">
        <x:v>6CQYXD3</x:v>
      </x:c>
      <x:c r="B21" s="9" t="str">
        <x:v>THIẾU DỮ LIỆU</x:v>
      </x:c>
      <x:c r="C21" s="9" t="str">
        <x:v>Dell Latitude 7320</x:v>
      </x:c>
      <x:c r="D21" s="9" t="str">
        <x:v>BT-000152</x:v>
      </x:c>
      <x:c r="E21" s="9" t="str">
        <x:v>GPU</x:v>
      </x:c>
      <x:c r="F21" s="9"/>
      <x:c r="G21" s="9"/>
      <x:c r="H21" s="9" t="str">
        <x:v>Chưa có GPU theo serial</x:v>
      </x:c>
      <x:c r="I21" s="9" t="str">
        <x:v>SERIAL_REGISTRY!A262:AA262</x:v>
      </x:c>
      <x:c r="J21" s="9" t="str">
        <x:v>Bổ sung thông số thực tế theo serial</x:v>
      </x:c>
    </x:row>
    <x:row r="22" ht="58" customHeight="1">
      <x:c r="A22" s="9" t="str">
        <x:v>3D58LR3</x:v>
      </x:c>
      <x:c r="B22" s="9" t="str">
        <x:v>THIẾU DỮ LIỆU</x:v>
      </x:c>
      <x:c r="C22" s="9" t="str">
        <x:v>Dell Latitude 7330</x:v>
      </x:c>
      <x:c r="D22" s="9" t="str">
        <x:v>BT-000105</x:v>
      </x:c>
      <x:c r="E22" s="9" t="str">
        <x:v>GPU</x:v>
      </x:c>
      <x:c r="F22" s="9"/>
      <x:c r="G22" s="9"/>
      <x:c r="H22" s="9" t="str">
        <x:v>Chưa có GPU theo serial</x:v>
      </x:c>
      <x:c r="I22" s="9" t="str">
        <x:v>SERIAL_REGISTRY!A193:AA193</x:v>
      </x:c>
      <x:c r="J22" s="9" t="str">
        <x:v>Bổ sung thông số thực tế theo serial</x:v>
      </x:c>
    </x:row>
    <x:row r="23" ht="58" customHeight="1">
      <x:c r="A23" s="9" t="str">
        <x:v>3L892T3</x:v>
      </x:c>
      <x:c r="B23" s="9" t="str">
        <x:v>THIẾU DỮ LIỆU</x:v>
      </x:c>
      <x:c r="C23" s="9" t="str">
        <x:v>Dell Latitude 7330</x:v>
      </x:c>
      <x:c r="D23" s="9" t="str">
        <x:v>BT-000105</x:v>
      </x:c>
      <x:c r="E23" s="9" t="str">
        <x:v>GPU</x:v>
      </x:c>
      <x:c r="F23" s="9"/>
      <x:c r="G23" s="9"/>
      <x:c r="H23" s="9" t="str">
        <x:v>Chưa có GPU theo serial</x:v>
      </x:c>
      <x:c r="I23" s="9" t="str">
        <x:v>SERIAL_REGISTRY!A194:AA194</x:v>
      </x:c>
      <x:c r="J23" s="9" t="str">
        <x:v>Bổ sung thông số thực tế theo serial</x:v>
      </x:c>
    </x:row>
    <x:row r="24" ht="58" customHeight="1">
      <x:c r="A24" s="9" t="str">
        <x:v>5PQ6LR3</x:v>
      </x:c>
      <x:c r="B24" s="9" t="str">
        <x:v>THIẾU DỮ LIỆU</x:v>
      </x:c>
      <x:c r="C24" s="9" t="str">
        <x:v>Dell Latitude 7330</x:v>
      </x:c>
      <x:c r="D24" s="9" t="str">
        <x:v>BT-000105</x:v>
      </x:c>
      <x:c r="E24" s="9" t="str">
        <x:v>GPU</x:v>
      </x:c>
      <x:c r="F24" s="9"/>
      <x:c r="G24" s="9"/>
      <x:c r="H24" s="9" t="str">
        <x:v>Chưa có GPU theo serial</x:v>
      </x:c>
      <x:c r="I24" s="9" t="str">
        <x:v>SERIAL_REGISTRY!A195:AA195</x:v>
      </x:c>
      <x:c r="J24" s="9" t="str">
        <x:v>Bổ sung thông số thực tế theo serial</x:v>
      </x:c>
    </x:row>
    <x:row r="25" ht="58" customHeight="1">
      <x:c r="A25" s="9" t="str">
        <x:v>CDWSXD3</x:v>
      </x:c>
      <x:c r="B25" s="9" t="str">
        <x:v>THIẾU DỮ LIỆU</x:v>
      </x:c>
      <x:c r="C25" s="9" t="str">
        <x:v>Dell Latitude 7410</x:v>
      </x:c>
      <x:c r="D25" s="9" t="str">
        <x:v>BT-000001</x:v>
      </x:c>
      <x:c r="E25" s="9" t="str">
        <x:v>GPU</x:v>
      </x:c>
      <x:c r="F25" s="9"/>
      <x:c r="G25" s="9"/>
      <x:c r="H25" s="9" t="str">
        <x:v>Chưa có GPU theo serial</x:v>
      </x:c>
      <x:c r="I25" s="9" t="str">
        <x:v>SERIAL_REGISTRY!A69:AA69</x:v>
      </x:c>
      <x:c r="J25" s="9" t="str">
        <x:v>Bổ sung thông số thực tế theo serial</x:v>
      </x:c>
    </x:row>
    <x:row r="26" ht="58" customHeight="1">
      <x:c r="A26" s="9" t="str">
        <x:v>FG6P163</x:v>
      </x:c>
      <x:c r="B26" s="9" t="str">
        <x:v>THIẾU DỮ LIỆU</x:v>
      </x:c>
      <x:c r="C26" s="9" t="str">
        <x:v>Dell Latitude 7410</x:v>
      </x:c>
      <x:c r="D26" s="9" t="str">
        <x:v>BT-000001</x:v>
      </x:c>
      <x:c r="E26" s="9" t="str">
        <x:v>GPU</x:v>
      </x:c>
      <x:c r="F26" s="9"/>
      <x:c r="G26" s="9"/>
      <x:c r="H26" s="9" t="str">
        <x:v>Chưa có GPU theo serial</x:v>
      </x:c>
      <x:c r="I26" s="9" t="str">
        <x:v>SERIAL_REGISTRY!A119:AA119</x:v>
      </x:c>
      <x:c r="J26" s="9" t="str">
        <x:v>Bổ sung thông số thực tế theo serial</x:v>
      </x:c>
    </x:row>
    <x:row r="27" ht="58" customHeight="1">
      <x:c r="A27" s="9" t="str">
        <x:v>4353454</x:v>
      </x:c>
      <x:c r="B27" s="9" t="str">
        <x:v>THIẾU DỮ LIỆU</x:v>
      </x:c>
      <x:c r="C27" s="9" t="str">
        <x:v>Dell Latitude 7410</x:v>
      </x:c>
      <x:c r="D27" s="9" t="str">
        <x:v>BT-000002</x:v>
      </x:c>
      <x:c r="E27" s="9" t="str">
        <x:v>GPU</x:v>
      </x:c>
      <x:c r="F27" s="9"/>
      <x:c r="G27" s="9"/>
      <x:c r="H27" s="9" t="str">
        <x:v>Chưa có GPU theo serial</x:v>
      </x:c>
      <x:c r="I27" s="9" t="str">
        <x:v>SERIAL_REGISTRY!A80:AA80</x:v>
      </x:c>
      <x:c r="J27" s="9" t="str">
        <x:v>Bổ sung thông số thực tế theo serial</x:v>
      </x:c>
    </x:row>
    <x:row r="28" ht="58" customHeight="1">
      <x:c r="A28" s="9" t="str">
        <x:v>5CG141252T</x:v>
      </x:c>
      <x:c r="B28" s="9" t="str">
        <x:v>THIẾU DỮ LIỆU</x:v>
      </x:c>
      <x:c r="C28" s="9" t="str">
        <x:v>HP Elitebook 830 G8</x:v>
      </x:c>
      <x:c r="D28" s="9" t="str">
        <x:v>BT-000086</x:v>
      </x:c>
      <x:c r="E28" s="9" t="str">
        <x:v>RAM</x:v>
      </x:c>
      <x:c r="F28" s="9"/>
      <x:c r="G28" s="9"/>
      <x:c r="H28" s="9" t="str">
        <x:v>Chưa có RAM theo serial</x:v>
      </x:c>
      <x:c r="I28" s="9" t="str">
        <x:v>SERIAL_REGISTRY!A176:AA176</x:v>
      </x:c>
      <x:c r="J28" s="9" t="str">
        <x:v>Bổ sung thông số thực tế theo serial</x:v>
      </x:c>
    </x:row>
    <x:row r="29" ht="58" customHeight="1">
      <x:c r="A29" s="9" t="str">
        <x:v>5CG141252T</x:v>
      </x:c>
      <x:c r="B29" s="9" t="str">
        <x:v>THIẾU DỮ LIỆU</x:v>
      </x:c>
      <x:c r="C29" s="9" t="str">
        <x:v>HP Elitebook 830 G8</x:v>
      </x:c>
      <x:c r="D29" s="9" t="str">
        <x:v>BT-000086</x:v>
      </x:c>
      <x:c r="E29" s="9" t="str">
        <x:v>SSD</x:v>
      </x:c>
      <x:c r="F29" s="9"/>
      <x:c r="G29" s="9"/>
      <x:c r="H29" s="9" t="str">
        <x:v>Chưa có SSD theo serial</x:v>
      </x:c>
      <x:c r="I29" s="9" t="str">
        <x:v>SERIAL_REGISTRY!A176:AA176</x:v>
      </x:c>
      <x:c r="J29" s="9" t="str">
        <x:v>Bổ sung thông số thực tế theo serial</x:v>
      </x:c>
    </x:row>
    <x:row r="30" ht="58" customHeight="1">
      <x:c r="A30" s="9" t="str">
        <x:v>5CG141252T</x:v>
      </x:c>
      <x:c r="B30" s="9" t="str">
        <x:v>THIẾU DỮ LIỆU</x:v>
      </x:c>
      <x:c r="C30" s="9" t="str">
        <x:v>HP Elitebook 830 G8</x:v>
      </x:c>
      <x:c r="D30" s="9" t="str">
        <x:v>BT-000086</x:v>
      </x:c>
      <x:c r="E30" s="9" t="str">
        <x:v>GPU</x:v>
      </x:c>
      <x:c r="F30" s="9"/>
      <x:c r="G30" s="9"/>
      <x:c r="H30" s="9" t="str">
        <x:v>Chưa có GPU theo serial</x:v>
      </x:c>
      <x:c r="I30" s="9" t="str">
        <x:v>SERIAL_REGISTRY!A176:AA176</x:v>
      </x:c>
      <x:c r="J30" s="9" t="str">
        <x:v>Bổ sung thông số thực tế theo serial</x:v>
      </x:c>
    </x:row>
    <x:row r="31" ht="58" customHeight="1">
      <x:c r="A31" s="9" t="str">
        <x:v>PF4EZ6PH</x:v>
      </x:c>
      <x:c r="B31" s="9" t="str">
        <x:v>THIẾU DỮ LIỆU</x:v>
      </x:c>
      <x:c r="C31" s="9" t="str">
        <x:v>Lenovo ThinkPad T14 Gen 3</x:v>
      </x:c>
      <x:c r="D31" s="9" t="str">
        <x:v>BT-000078</x:v>
      </x:c>
      <x:c r="E31" s="9" t="str">
        <x:v>GPU</x:v>
      </x:c>
      <x:c r="F31" s="9"/>
      <x:c r="G31" s="9"/>
      <x:c r="H31" s="9" t="str">
        <x:v>Chưa có GPU theo serial</x:v>
      </x:c>
      <x:c r="I31" s="9" t="str">
        <x:v>SERIAL_REGISTRY!A146:AA146</x:v>
      </x:c>
      <x:c r="J31" s="9" t="str">
        <x:v>Bổ sung thông số thực tế theo serial</x:v>
      </x:c>
    </x:row>
    <x:row r="32" ht="58" customHeight="1">
      <x:c r="A32" s="9" t="str">
        <x:v>PF4EYX90</x:v>
      </x:c>
      <x:c r="B32" s="9" t="str">
        <x:v>THIẾU DỮ LIỆU</x:v>
      </x:c>
      <x:c r="C32" s="9" t="str">
        <x:v>Lenovo ThinkPad T14 Gen 3</x:v>
      </x:c>
      <x:c r="D32" s="9" t="str">
        <x:v>BT-000078</x:v>
      </x:c>
      <x:c r="E32" s="9" t="str">
        <x:v>GPU</x:v>
      </x:c>
      <x:c r="F32" s="9"/>
      <x:c r="G32" s="9"/>
      <x:c r="H32" s="9" t="str">
        <x:v>Chưa có GPU theo serial</x:v>
      </x:c>
      <x:c r="I32" s="9" t="str">
        <x:v>SERIAL_REGISTRY!A148:AA148</x:v>
      </x:c>
      <x:c r="J32" s="9" t="str">
        <x:v>Bổ sung thông số thực tế theo serial</x:v>
      </x:c>
    </x:row>
    <x:row r="33" ht="58" customHeight="1">
      <x:c r="A33" s="9" t="str">
        <x:v>PF4ERF9G</x:v>
      </x:c>
      <x:c r="B33" s="9" t="str">
        <x:v>THIẾU DỮ LIỆU</x:v>
      </x:c>
      <x:c r="C33" s="9" t="str">
        <x:v>Lenovo ThinkPad T14 Gen 3</x:v>
      </x:c>
      <x:c r="D33" s="9" t="str">
        <x:v>BT-000078</x:v>
      </x:c>
      <x:c r="E33" s="9" t="str">
        <x:v>GPU</x:v>
      </x:c>
      <x:c r="F33" s="9"/>
      <x:c r="G33" s="9"/>
      <x:c r="H33" s="9" t="str">
        <x:v>Chưa có GPU theo serial</x:v>
      </x:c>
      <x:c r="I33" s="9" t="str">
        <x:v>SERIAL_REGISTRY!A149:AA149</x:v>
      </x:c>
      <x:c r="J33" s="9" t="str">
        <x:v>Bổ sung thông số thực tế theo serial</x:v>
      </x:c>
    </x:row>
    <x:row r="34" ht="58" customHeight="1">
      <x:c r="A34" s="9" t="str">
        <x:v>PF4EZ5FD</x:v>
      </x:c>
      <x:c r="B34" s="9" t="str">
        <x:v>THIẾU DỮ LIỆU</x:v>
      </x:c>
      <x:c r="C34" s="9" t="str">
        <x:v>Lenovo ThinkPad T14 Gen 3</x:v>
      </x:c>
      <x:c r="D34" s="9" t="str">
        <x:v>BT-000077</x:v>
      </x:c>
      <x:c r="E34" s="9" t="str">
        <x:v>RAM</x:v>
      </x:c>
      <x:c r="F34" s="9"/>
      <x:c r="G34" s="9"/>
      <x:c r="H34" s="9" t="str">
        <x:v>Chưa có RAM theo serial</x:v>
      </x:c>
      <x:c r="I34" s="9" t="str">
        <x:v>SERIAL_REGISTRY!A150:AA150</x:v>
      </x:c>
      <x:c r="J34" s="9" t="str">
        <x:v>Bổ sung thông số thực tế theo serial</x:v>
      </x:c>
    </x:row>
    <x:row r="35" ht="58" customHeight="1">
      <x:c r="A35" s="9" t="str">
        <x:v>PF4EZ5FD</x:v>
      </x:c>
      <x:c r="B35" s="9" t="str">
        <x:v>THIẾU DỮ LIỆU</x:v>
      </x:c>
      <x:c r="C35" s="9" t="str">
        <x:v>Lenovo ThinkPad T14 Gen 3</x:v>
      </x:c>
      <x:c r="D35" s="9" t="str">
        <x:v>BT-000077</x:v>
      </x:c>
      <x:c r="E35" s="9" t="str">
        <x:v>SSD</x:v>
      </x:c>
      <x:c r="F35" s="9"/>
      <x:c r="G35" s="9"/>
      <x:c r="H35" s="9" t="str">
        <x:v>Chưa có SSD theo serial</x:v>
      </x:c>
      <x:c r="I35" s="9" t="str">
        <x:v>SERIAL_REGISTRY!A150:AA150</x:v>
      </x:c>
      <x:c r="J35" s="9" t="str">
        <x:v>Bổ sung thông số thực tế theo serial</x:v>
      </x:c>
    </x:row>
    <x:row r="36" ht="58" customHeight="1">
      <x:c r="A36" s="9" t="str">
        <x:v>PF4EZ5FD</x:v>
      </x:c>
      <x:c r="B36" s="9" t="str">
        <x:v>THIẾU DỮ LIỆU</x:v>
      </x:c>
      <x:c r="C36" s="9" t="str">
        <x:v>Lenovo ThinkPad T14 Gen 3</x:v>
      </x:c>
      <x:c r="D36" s="9" t="str">
        <x:v>BT-000077</x:v>
      </x:c>
      <x:c r="E36" s="9" t="str">
        <x:v>GPU</x:v>
      </x:c>
      <x:c r="F36" s="9"/>
      <x:c r="G36" s="9"/>
      <x:c r="H36" s="9" t="str">
        <x:v>Chưa có GPU theo serial</x:v>
      </x:c>
      <x:c r="I36" s="9" t="str">
        <x:v>SERIAL_REGISTRY!A150:AA150</x:v>
      </x:c>
      <x:c r="J36" s="9" t="str">
        <x:v>Bổ sung thông số thực tế theo serial</x:v>
      </x:c>
    </x:row>
    <x:row r="37" ht="58" customHeight="1">
      <x:c r="A37" s="9" t="str">
        <x:v>635WKR3</x:v>
      </x:c>
      <x:c r="B37" s="9" t="str">
        <x:v>BẢNG CŨ KHÁC HỒ SƠ</x:v>
      </x:c>
      <x:c r="C37" s="9" t="str">
        <x:v>Dell XPS 9520</x:v>
      </x:c>
      <x:c r="D37" s="9" t="str">
        <x:v>BT-000185</x:v>
      </x:c>
      <x:c r="E37" s="9" t="str">
        <x:v>Bảng cũ</x:v>
      </x:c>
      <x:c r="F37" s="9" t="str">
        <x:v>Core i7 - 12700H; Core i7 - 12700H / RAM 16GB / SSD 512GB / RTX 3050TI - 4GB / 15.6 inch FHD / KHÔNG CẢM ỨNG</x:v>
      </x:c>
      <x:c r="G37" s="9" t="str">
        <x:v>Core i7 - 12700H; Core i7 - 12700H / Ram 16GB / SSD 512GB / 15.6" FHD+ / RTX 3050TI - 4GB</x:v>
      </x:c>
      <x:c r="H37" s="9" t="str">
        <x:v>Bảng Máy hiện tại cũ khác hồ sơ đang vận hành</x:v>
      </x:c>
      <x:c r="I37" s="9" t="str">
        <x:v>4 - MÁY HIỆN TẠI!A242:W242</x:v>
      </x:c>
      <x:c r="J37" s="9" t="str">
        <x:v>Dùng hồ sơ hiện tại; kiểm tra lịch sử sửa nếu cần</x:v>
      </x:c>
    </x:row>
    <x:row r="38" ht="58" customHeight="1">
      <x:c r="A38" s="9" t="str">
        <x:v>0B333W8232437H</x:v>
      </x:c>
      <x:c r="B38" s="9" t="str">
        <x:v>BẢNG CŨ KHÁC HỒ SƠ</x:v>
      </x:c>
      <x:c r="C38" s="9" t="str">
        <x:v>Microsoft Surface Laptop Go 2</x:v>
      </x:c>
      <x:c r="D38" s="9" t="str">
        <x:v>BT-000172</x:v>
      </x:c>
      <x:c r="E38" s="9" t="str">
        <x:v>Bảng cũ</x:v>
      </x:c>
      <x:c r="F38" s="9" t="str">
        <x:v>Core i5-1135G7; Core i5 - 1135G7 / Ram 16 GB / SSD 256GB / 12.4 " (1536 x 1024) Cảm ứng</x:v>
      </x:c>
      <x:c r="G38" s="9" t="str">
        <x:v>null; Core i5 - 1135G7 / Ram 16 GB / SSD 256GB / 12.4 " (1536 x 1024) Cảm ứng</x:v>
      </x:c>
      <x:c r="H38" s="9" t="str">
        <x:v>Bảng Máy hiện tại cũ khác hồ sơ đang vận hành</x:v>
      </x:c>
      <x:c r="I38" s="9" t="str">
        <x:v>4 - MÁY HIỆN TẠI!A273:W273</x:v>
      </x:c>
      <x:c r="J38" s="9" t="str">
        <x:v>Dùng hồ sơ hiện tại; kiểm tra lịch sử sửa nếu cần</x:v>
      </x:c>
    </x:row>
  </x:sheetData>
  <x:conditionalFormatting sqref="B9:B38">
    <x:cfRule type="containsText" dxfId="6" priority="1" operator="containsText" text="MÂU THUẪN"/>
    <x:cfRule type="containsText" dxfId="7" priority="2" operator="containsText" text="THIẾU DỮ LIỆU"/>
  </x:conditionalFormatting>
  <x:pageMargins left="0.7" right="0.7" top="0.75" bottom="0.75" header="0.3" footer="0.3"/>
  <x:tableParts count="1">
    <x:tablePart xmlns:r="http://schemas.openxmlformats.org/officeDocument/2006/relationships" r:id="R4999a921fff34d26"/>
  </x:tableParts>
</x:worksheet>
</file>